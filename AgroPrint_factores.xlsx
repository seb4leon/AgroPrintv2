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82124ac7a56848/Desktop/TESIS/Entregas/"/>
    </mc:Choice>
  </mc:AlternateContent>
  <xr:revisionPtr revIDLastSave="4" documentId="8_{C5830BD8-C464-4C8F-AD6A-9697E929FF15}" xr6:coauthVersionLast="47" xr6:coauthVersionMax="47" xr10:uidLastSave="{91A0F039-E922-43ED-B8EF-20106B42B83E}"/>
  <bookViews>
    <workbookView xWindow="-96" yWindow="0" windowWidth="11712" windowHeight="12336" firstSheet="10" activeTab="10" xr2:uid="{E75FD4F4-076B-49F9-9399-89B987E69C3D}"/>
  </bookViews>
  <sheets>
    <sheet name="gwp" sheetId="1" r:id="rId1"/>
    <sheet name="factores_ipcc" sheetId="9" r:id="rId2"/>
    <sheet name="fertilizantes_organicos" sheetId="2" r:id="rId3"/>
    <sheet name="fertilizantes_inorganicos" sheetId="3" r:id="rId4"/>
    <sheet name="agroquímicos" sheetId="4" r:id="rId5"/>
    <sheet name="labores" sheetId="7" r:id="rId6"/>
    <sheet name="combustibles" sheetId="5" r:id="rId7"/>
    <sheet name="agua" sheetId="10" r:id="rId8"/>
    <sheet name="maquinaria" sheetId="8" r:id="rId9"/>
    <sheet name="electricidad" sheetId="12" r:id="rId10"/>
    <sheet name="residuos" sheetId="6" r:id="rId11"/>
    <sheet name="rendimientos_maquinaria" sheetId="11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3" l="1"/>
  <c r="F60" i="3"/>
  <c r="B14" i="2"/>
  <c r="B13" i="2"/>
  <c r="B12" i="2"/>
  <c r="B11" i="2"/>
  <c r="B10" i="2"/>
  <c r="B9" i="2"/>
  <c r="B15" i="5"/>
  <c r="B14" i="5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F55" i="3"/>
  <c r="F50" i="3"/>
  <c r="F44" i="3"/>
  <c r="F39" i="3"/>
  <c r="F34" i="3"/>
  <c r="F29" i="3"/>
  <c r="F22" i="3"/>
  <c r="F15" i="3"/>
  <c r="F8" i="3"/>
</calcChain>
</file>

<file path=xl/sharedStrings.xml><?xml version="1.0" encoding="utf-8"?>
<sst xmlns="http://schemas.openxmlformats.org/spreadsheetml/2006/main" count="633" uniqueCount="223">
  <si>
    <t>https://www.ipcc.ch/report/ar6/wg1/chapter/chapter-7/#7.6</t>
  </si>
  <si>
    <t>Gas</t>
  </si>
  <si>
    <t>CO2</t>
  </si>
  <si>
    <t>N2O</t>
  </si>
  <si>
    <t>Año</t>
  </si>
  <si>
    <t>Fuente</t>
  </si>
  <si>
    <t>N_porcentaje</t>
  </si>
  <si>
    <t>Frac_volatilizacion</t>
  </si>
  <si>
    <t>Frac_lixiviacion</t>
  </si>
  <si>
    <t>FE_produccion_producto</t>
  </si>
  <si>
    <t>Nitrato de amonio (AN)</t>
  </si>
  <si>
    <t>Unión Europea</t>
  </si>
  <si>
    <t>https://www.fertilizerseurope.com/wp-content/uploads/2020/01/The-carbon-footprint-of-fertilizer-production_Regional-reference-values.pdf</t>
  </si>
  <si>
    <t>Norte América</t>
  </si>
  <si>
    <t>Latino América</t>
  </si>
  <si>
    <t>China, carbón</t>
  </si>
  <si>
    <t>Rusia</t>
  </si>
  <si>
    <t>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</t>
  </si>
  <si>
    <t>China, gas</t>
  </si>
  <si>
    <t>Promedio</t>
  </si>
  <si>
    <t>Nitrato de amonio cálcico (CAN)</t>
  </si>
  <si>
    <t>Urea</t>
  </si>
  <si>
    <t>Nitrato de Amonio y Urea (UAN)</t>
  </si>
  <si>
    <t>Nitrosulfato de amonio (ANS)</t>
  </si>
  <si>
    <t xml:space="preserve"> Europa</t>
  </si>
  <si>
    <t xml:space="preserve"> Rusia</t>
  </si>
  <si>
    <t>Estados Unidos</t>
  </si>
  <si>
    <t xml:space="preserve"> China</t>
  </si>
  <si>
    <t>Nitrato de calcio (CN)</t>
  </si>
  <si>
    <t>Sulfato de amonio (AS)</t>
  </si>
  <si>
    <t>Europa</t>
  </si>
  <si>
    <t>China</t>
  </si>
  <si>
    <t>Fosfato diamonico (DAP)</t>
  </si>
  <si>
    <t>NPK</t>
  </si>
  <si>
    <t>Superfosfato triple (TSP)</t>
  </si>
  <si>
    <t>Cloruro de Potasio (MOP)</t>
  </si>
  <si>
    <t>Origen</t>
  </si>
  <si>
    <t>N</t>
  </si>
  <si>
    <t>P2O5</t>
  </si>
  <si>
    <t>K2O</t>
  </si>
  <si>
    <t>Tierra de hoja (quillota)</t>
  </si>
  <si>
    <t>https://biblioteca.inia.cl/server/api/core/bitstreams/102077ad-5b60-46b2-8b35-c0e8250a2965/content</t>
  </si>
  <si>
    <t>Guano de pavo</t>
  </si>
  <si>
    <t>Guano de vacuno</t>
  </si>
  <si>
    <t>Guano de cabra</t>
  </si>
  <si>
    <t>Turba de copiapó</t>
  </si>
  <si>
    <t>Estiercol de vacuno sólido</t>
  </si>
  <si>
    <t>Purin de vacuno</t>
  </si>
  <si>
    <t>Estiércol de cerdo sólido</t>
  </si>
  <si>
    <t>Purin de cerdo</t>
  </si>
  <si>
    <t>Estiércol sólido de ave</t>
  </si>
  <si>
    <t>Purín de ave</t>
  </si>
  <si>
    <t>Observacion</t>
  </si>
  <si>
    <t>Categoria</t>
  </si>
  <si>
    <t>Tipo</t>
  </si>
  <si>
    <t>Herbicida</t>
  </si>
  <si>
    <t>Media</t>
  </si>
  <si>
    <t>https://doi.org/10.1016/j.envint.2004.03.005</t>
  </si>
  <si>
    <t>Insecticida</t>
  </si>
  <si>
    <t>Fungicida</t>
  </si>
  <si>
    <t>2, 4-D</t>
  </si>
  <si>
    <t>2, 4, 5-T</t>
  </si>
  <si>
    <t>https://doi.org/10.1016/j.envint.2004.03.006</t>
  </si>
  <si>
    <t>Alacloro</t>
  </si>
  <si>
    <t>https://doi.org/10.1016/j.envint.2004.03.007</t>
  </si>
  <si>
    <t>Atrazina</t>
  </si>
  <si>
    <t>https://doi.org/10.1016/j.envint.2004.03.008</t>
  </si>
  <si>
    <t>Bentazón</t>
  </si>
  <si>
    <t>https://doi.org/10.1016/j.envint.2004.03.009</t>
  </si>
  <si>
    <t>Butilato</t>
  </si>
  <si>
    <t>https://doi.org/10.1016/j.envint.2004.03.010</t>
  </si>
  <si>
    <t>Cloramben</t>
  </si>
  <si>
    <t>https://doi.org/10.1016/j.envint.2004.03.011</t>
  </si>
  <si>
    <t>Clorsulfurón</t>
  </si>
  <si>
    <t>https://doi.org/10.1016/j.envint.2004.03.012</t>
  </si>
  <si>
    <t>Cianazina</t>
  </si>
  <si>
    <t>https://doi.org/10.1016/j.envint.2004.03.013</t>
  </si>
  <si>
    <t>Dicamba</t>
  </si>
  <si>
    <t>https://doi.org/10.1016/j.envint.2004.03.014</t>
  </si>
  <si>
    <t>Dinosaurio</t>
  </si>
  <si>
    <t>https://doi.org/10.1016/j.envint.2004.03.015</t>
  </si>
  <si>
    <t>Diquat</t>
  </si>
  <si>
    <t>https://doi.org/10.1016/j.envint.2004.03.016</t>
  </si>
  <si>
    <t>Diurón</t>
  </si>
  <si>
    <t>https://doi.org/10.1016/j.envint.2004.03.017</t>
  </si>
  <si>
    <t>EPTC</t>
  </si>
  <si>
    <t>https://doi.org/10.1016/j.envint.2004.03.018</t>
  </si>
  <si>
    <t>Fluazifop-butilo</t>
  </si>
  <si>
    <t>https://doi.org/10.1016/j.envint.2004.03.019</t>
  </si>
  <si>
    <t>Fluometurón</t>
  </si>
  <si>
    <t>https://doi.org/10.1016/j.envint.2004.03.020</t>
  </si>
  <si>
    <t>Glifosato</t>
  </si>
  <si>
    <t>https://doi.org/10.1016/j.envint.2004.03.021</t>
  </si>
  <si>
    <t>Linuron</t>
  </si>
  <si>
    <t>https://doi.org/10.1016/j.envint.2004.03.022</t>
  </si>
  <si>
    <t>MCPA</t>
  </si>
  <si>
    <t>https://doi.org/10.1016/j.envint.2004.03.023</t>
  </si>
  <si>
    <t>Metolaclor</t>
  </si>
  <si>
    <t>https://doi.org/10.1016/j.envint.2004.03.024</t>
  </si>
  <si>
    <t>Paraquat</t>
  </si>
  <si>
    <t>https://doi.org/10.1016/j.envint.2004.03.025</t>
  </si>
  <si>
    <t>Propaclor</t>
  </si>
  <si>
    <t>https://doi.org/10.1016/j.envint.2004.03.026</t>
  </si>
  <si>
    <t>Trifluralina</t>
  </si>
  <si>
    <t>https://doi.org/10.1016/j.envint.2004.03.027</t>
  </si>
  <si>
    <t>Ferbam</t>
  </si>
  <si>
    <t>https://doi.org/10.1016/j.envint.2004.03.028</t>
  </si>
  <si>
    <t>Maneb</t>
  </si>
  <si>
    <t>https://doi.org/10.1016/j.envint.2004.03.029</t>
  </si>
  <si>
    <t>Capitan</t>
  </si>
  <si>
    <t>https://doi.org/10.1016/j.envint.2004.03.030</t>
  </si>
  <si>
    <t>Benomilo</t>
  </si>
  <si>
    <t>https://doi.org/10.1016/j.envint.2004.03.031</t>
  </si>
  <si>
    <t>Metil paratión</t>
  </si>
  <si>
    <t>https://doi.org/10.1016/j.envint.2004.03.032</t>
  </si>
  <si>
    <t>Forato</t>
  </si>
  <si>
    <t>https://doi.org/10.1016/j.envint.2004.03.033</t>
  </si>
  <si>
    <t>Carbofurano</t>
  </si>
  <si>
    <t>https://doi.org/10.1016/j.envint.2004.03.034</t>
  </si>
  <si>
    <t>Carbaril</t>
  </si>
  <si>
    <t>https://doi.org/10.1016/j.envint.2004.03.035</t>
  </si>
  <si>
    <t>Taxafeno</t>
  </si>
  <si>
    <t>https://doi.org/10.1016/j.envint.2004.03.036</t>
  </si>
  <si>
    <t>Cipermetrina</t>
  </si>
  <si>
    <t>https://doi.org/10.1016/j.envint.2004.03.037</t>
  </si>
  <si>
    <t>Clorodimeformo</t>
  </si>
  <si>
    <t>https://doi.org/10.1016/j.envint.2004.03.038</t>
  </si>
  <si>
    <t>lindano</t>
  </si>
  <si>
    <t>https://doi.org/10.1016/j.envint.2004.03.039</t>
  </si>
  <si>
    <t>Malatión</t>
  </si>
  <si>
    <t>https://doi.org/10.1016/j.envint.2004.03.040</t>
  </si>
  <si>
    <t>Partión</t>
  </si>
  <si>
    <t>https://doi.org/10.1016/j.envint.2004.03.041</t>
  </si>
  <si>
    <t>Metoxicloro</t>
  </si>
  <si>
    <t>https://doi.org/10.1016/j.envint.2004.03.042</t>
  </si>
  <si>
    <t>Otros</t>
  </si>
  <si>
    <t>Polisulfuro de Calcio</t>
  </si>
  <si>
    <t>TESIS</t>
  </si>
  <si>
    <t>Azufre micronizado</t>
  </si>
  <si>
    <t>Unidad</t>
  </si>
  <si>
    <t>FE_produccion</t>
  </si>
  <si>
    <t>kg CO2e/kg producto</t>
  </si>
  <si>
    <t>Diesel (mezcla promedio biocombustibles)</t>
  </si>
  <si>
    <t>DEFRA</t>
  </si>
  <si>
    <t>Diesel (100% mineral)</t>
  </si>
  <si>
    <t>Gasolina (mezcla media de biocombustibles)</t>
  </si>
  <si>
    <t>Gasolina (100% gasolina mineral)</t>
  </si>
  <si>
    <t>Gas Natural Comprimido</t>
  </si>
  <si>
    <t>Gas Natural Licuado</t>
  </si>
  <si>
    <t>Gas Licuado de petróleo</t>
  </si>
  <si>
    <t>Aceite combustible</t>
  </si>
  <si>
    <t>Gasóleo</t>
  </si>
  <si>
    <t>Lubricante</t>
  </si>
  <si>
    <t>Nafta</t>
  </si>
  <si>
    <t>Butano</t>
  </si>
  <si>
    <t>Otros gases de petróleo</t>
  </si>
  <si>
    <t>Propano</t>
  </si>
  <si>
    <t>Aceite quemado</t>
  </si>
  <si>
    <t>Eléctrico</t>
  </si>
  <si>
    <t>SEN 2024</t>
  </si>
  <si>
    <t>kg CO2e/L</t>
  </si>
  <si>
    <t>FE_combustible</t>
  </si>
  <si>
    <t>Valor</t>
  </si>
  <si>
    <t>kg CO2e/kWh</t>
  </si>
  <si>
    <t>Labor</t>
  </si>
  <si>
    <t>Siembra</t>
  </si>
  <si>
    <t>Cosecha</t>
  </si>
  <si>
    <t>Fertilización</t>
  </si>
  <si>
    <t>Aplicación de Agroquímicos</t>
  </si>
  <si>
    <t>Aplicación de Fertilizantes</t>
  </si>
  <si>
    <t>Riego</t>
  </si>
  <si>
    <t>Poda</t>
  </si>
  <si>
    <t>Otro</t>
  </si>
  <si>
    <t>GWP</t>
  </si>
  <si>
    <t>AR6</t>
  </si>
  <si>
    <t>Factor</t>
  </si>
  <si>
    <t>EF1</t>
  </si>
  <si>
    <t>EF4</t>
  </si>
  <si>
    <t>EF5</t>
  </si>
  <si>
    <t>Frac_volatilizacion_inorganico</t>
  </si>
  <si>
    <t>Frac_volatilizacion_organico</t>
  </si>
  <si>
    <t>Version</t>
  </si>
  <si>
    <t>Factor_organico</t>
  </si>
  <si>
    <t>fraccion_seca</t>
  </si>
  <si>
    <t>Guano rojo</t>
  </si>
  <si>
    <t>Harina de sangre</t>
  </si>
  <si>
    <t>https://www.indap.gob.cl/sites/default/files/2022-02/n%C2%BA8-manual-de-produccio%CC%81n-agroecologica.pdf</t>
  </si>
  <si>
    <t>Factor_inorganico</t>
  </si>
  <si>
    <t>Fosfato monoamónico (MAP)</t>
  </si>
  <si>
    <t>Chile</t>
  </si>
  <si>
    <t>https://www.climatiq.io/data/emission-factor/941370dd-318b-46ad-941b-80b9c861cf69</t>
  </si>
  <si>
    <t>Ácido bórico</t>
  </si>
  <si>
    <t>https://www.researchgate.net/publication/351106329_Life_cycle_assessment_on_boron_production_is_boric_acid_extraction_from_salt-lake_brine_environmentally_friendly</t>
  </si>
  <si>
    <t>kg CO2e/kg i.a</t>
  </si>
  <si>
    <t>agua</t>
  </si>
  <si>
    <t>Factor_combustibles</t>
  </si>
  <si>
    <t>Maquinaria</t>
  </si>
  <si>
    <t>Tractor</t>
  </si>
  <si>
    <t>Cosechadora</t>
  </si>
  <si>
    <t>Camión</t>
  </si>
  <si>
    <t>Pulverizadora</t>
  </si>
  <si>
    <t>Rendimiento</t>
  </si>
  <si>
    <t>L/hora</t>
  </si>
  <si>
    <t>Observación</t>
  </si>
  <si>
    <t>https://www.ipcc-nggip.iges.or.jp/public/2019rf/pdf/4_Volume4/19R_V4_Ch11_Soils_N2O_CO2.pdf</t>
  </si>
  <si>
    <t>FE_CH4_QUEMA</t>
  </si>
  <si>
    <t>FE_N2O_QUEMA</t>
  </si>
  <si>
    <t>Factor_combustion</t>
  </si>
  <si>
    <t>adimensional</t>
  </si>
  <si>
    <t>g/kg</t>
  </si>
  <si>
    <t>https://www.ipcc-nggip.iges.or.jp/public/2019rf/pdf/4_Volume4/19R_V4_Ch02_Generic%20Methods.pdf#page=40.05</t>
  </si>
  <si>
    <t>FE_CH4_SECO</t>
  </si>
  <si>
    <t>FE_CH4_HUMEDO</t>
  </si>
  <si>
    <t>FE_N2O_COMPOSTAJE_SECO</t>
  </si>
  <si>
    <t>FE_N2O_COMPOSTAJE_HUMEDO</t>
  </si>
  <si>
    <t>Aeróbico</t>
  </si>
  <si>
    <t>https://www.ipcc-nggip.iges.or.jp/public/2006gl/spanish/pdf/5_Volume5/V5_4_Ch4_Bio_Treat.pdf</t>
  </si>
  <si>
    <t>Parámetro</t>
  </si>
  <si>
    <t>g CH4/kg de desechos tratados</t>
  </si>
  <si>
    <t>g N2O/kg de desechos tratados</t>
  </si>
  <si>
    <t>electricidad</t>
  </si>
  <si>
    <t>SEN</t>
  </si>
  <si>
    <t>CH4 no fósil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</si>
</sst>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0" xfId="0" applyNumberFormat="1"/>
    <xf numFmtId="0" fontId="1" fillId="0" borderId="5" xfId="1" applyFill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1" fillId="0" borderId="8" xfId="1" applyFill="1" applyBorder="1"/>
    <xf numFmtId="0" fontId="0" fillId="0" borderId="9" xfId="0" applyBorder="1"/>
    <xf numFmtId="0" fontId="1" fillId="0" borderId="9" xfId="1" applyBorder="1"/>
    <xf numFmtId="0" fontId="0" fillId="0" borderId="10" xfId="0" applyBorder="1"/>
    <xf numFmtId="164" fontId="0" fillId="0" borderId="2" xfId="0" applyNumberFormat="1" applyBorder="1"/>
    <xf numFmtId="0" fontId="1" fillId="0" borderId="3" xfId="1" applyFill="1" applyBorder="1"/>
    <xf numFmtId="0" fontId="0" fillId="0" borderId="11" xfId="0" applyBorder="1"/>
    <xf numFmtId="0" fontId="0" fillId="0" borderId="12" xfId="0" applyBorder="1"/>
    <xf numFmtId="164" fontId="0" fillId="0" borderId="12" xfId="0" applyNumberFormat="1" applyBorder="1"/>
    <xf numFmtId="0" fontId="1" fillId="0" borderId="12" xfId="1" applyBorder="1"/>
    <xf numFmtId="0" fontId="0" fillId="0" borderId="13" xfId="0" applyBorder="1"/>
    <xf numFmtId="0" fontId="1" fillId="0" borderId="0" xfId="1" applyBorder="1"/>
    <xf numFmtId="0" fontId="0" fillId="0" borderId="5" xfId="0" applyBorder="1"/>
    <xf numFmtId="0" fontId="0" fillId="0" borderId="8" xfId="0" applyBorder="1"/>
    <xf numFmtId="0" fontId="1" fillId="0" borderId="0" xfId="1" applyAlignment="1">
      <alignment horizontal="justify" vertical="center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pcc.ch/report/ar6/wg1/chapter/chapter-7/" TargetMode="External"/><Relationship Id="rId2" Type="http://schemas.openxmlformats.org/officeDocument/2006/relationships/hyperlink" Target="https://www.ipcc.ch/report/ar6/wg1/chapter/chapter-7/" TargetMode="External"/><Relationship Id="rId1" Type="http://schemas.openxmlformats.org/officeDocument/2006/relationships/hyperlink" Target="https://www.ipcc.ch/report/ar6/wg1/chapter/chapter-7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pcc-nggip.iges.or.jp/public/2019rf/pdf/4_Volume4/19R_V4_Ch11_Soils_N2O_CO2.pdf" TargetMode="External"/><Relationship Id="rId2" Type="http://schemas.openxmlformats.org/officeDocument/2006/relationships/hyperlink" Target="https://www.ipcc-nggip.iges.or.jp/public/2019rf/pdf/4_Volume4/19R_V4_Ch11_Soils_N2O_CO2.pdf" TargetMode="External"/><Relationship Id="rId1" Type="http://schemas.openxmlformats.org/officeDocument/2006/relationships/hyperlink" Target="https://www.ipcc-nggip.iges.or.jp/public/2019rf/pdf/4_Volume4/19R_V4_Ch11_Soils_N2O_CO2.pdf" TargetMode="External"/><Relationship Id="rId6" Type="http://schemas.openxmlformats.org/officeDocument/2006/relationships/hyperlink" Target="https://www.ipcc-nggip.iges.or.jp/public/2019rf/pdf/4_Volume4/19R_V4_Ch11_Soils_N2O_CO2.pdf" TargetMode="External"/><Relationship Id="rId5" Type="http://schemas.openxmlformats.org/officeDocument/2006/relationships/hyperlink" Target="https://www.ipcc-nggip.iges.or.jp/public/2019rf/pdf/4_Volume4/19R_V4_Ch11_Soils_N2O_CO2.pdf" TargetMode="External"/><Relationship Id="rId4" Type="http://schemas.openxmlformats.org/officeDocument/2006/relationships/hyperlink" Target="https://www.ipcc-nggip.iges.or.jp/public/2019rf/pdf/4_Volume4/19R_V4_Ch11_Soils_N2O_CO2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ap.gob.cl/sites/default/files/2022-02/n%C2%BA8-manual-de-produccio%CC%81n-agroecologica.pdf" TargetMode="External"/><Relationship Id="rId3" Type="http://schemas.openxmlformats.org/officeDocument/2006/relationships/hyperlink" Target="https://biblioteca.inia.cl/server/api/core/bitstreams/102077ad-5b60-46b2-8b35-c0e8250a2965/content" TargetMode="External"/><Relationship Id="rId7" Type="http://schemas.openxmlformats.org/officeDocument/2006/relationships/hyperlink" Target="https://www.indap.gob.cl/sites/default/files/2022-02/n%C2%BA8-manual-de-produccio%CC%81n-agroecologica.pdf" TargetMode="External"/><Relationship Id="rId2" Type="http://schemas.openxmlformats.org/officeDocument/2006/relationships/hyperlink" Target="https://biblioteca.inia.cl/server/api/core/bitstreams/102077ad-5b60-46b2-8b35-c0e8250a2965/content" TargetMode="External"/><Relationship Id="rId1" Type="http://schemas.openxmlformats.org/officeDocument/2006/relationships/hyperlink" Target="https://biblioteca.inia.cl/server/api/core/bitstreams/102077ad-5b60-46b2-8b35-c0e8250a2965/content" TargetMode="External"/><Relationship Id="rId6" Type="http://schemas.openxmlformats.org/officeDocument/2006/relationships/hyperlink" Target="https://biblioteca.inia.cl/server/api/core/bitstreams/102077ad-5b60-46b2-8b35-c0e8250a2965/content" TargetMode="External"/><Relationship Id="rId5" Type="http://schemas.openxmlformats.org/officeDocument/2006/relationships/hyperlink" Target="https://biblioteca.inia.cl/server/api/core/bitstreams/102077ad-5b60-46b2-8b35-c0e8250a2965/content" TargetMode="External"/><Relationship Id="rId4" Type="http://schemas.openxmlformats.org/officeDocument/2006/relationships/hyperlink" Target="https://biblioteca.inia.cl/server/api/core/bitstreams/102077ad-5b60-46b2-8b35-c0e8250a2965/conten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13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3" Type="http://schemas.openxmlformats.org/officeDocument/2006/relationships/hyperlink" Target="https://www.fertilizerseurope.com/wp-content/uploads/2020/01/The-carbon-footprint-of-fertilizer-production_Regional-reference-values.pdf" TargetMode="External"/><Relationship Id="rId7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12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2" Type="http://schemas.openxmlformats.org/officeDocument/2006/relationships/hyperlink" Target="https://www.fertilizerseurope.com/wp-content/uploads/2020/01/The-carbon-footprint-of-fertilizer-production_Regional-reference-values.pdf" TargetMode="External"/><Relationship Id="rId1" Type="http://schemas.openxmlformats.org/officeDocument/2006/relationships/hyperlink" Target="https://www.fertilizerseurope.com/wp-content/uploads/2020/01/The-carbon-footprint-of-fertilizer-production_Regional-reference-values.pdf" TargetMode="External"/><Relationship Id="rId6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11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5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15" Type="http://schemas.openxmlformats.org/officeDocument/2006/relationships/hyperlink" Target="https://www.researchgate.net/publication/351106329_Life_cycle_assessment_on_boron_production_is_boric_acid_extraction_from_salt-lake_brine_environmentally_friendly" TargetMode="External"/><Relationship Id="rId10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4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9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Relationship Id="rId14" Type="http://schemas.openxmlformats.org/officeDocument/2006/relationships/hyperlink" Target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vint.2004.03.005" TargetMode="External"/><Relationship Id="rId2" Type="http://schemas.openxmlformats.org/officeDocument/2006/relationships/hyperlink" Target="https://doi.org/10.1016/j.envint.2004.03.005" TargetMode="External"/><Relationship Id="rId1" Type="http://schemas.openxmlformats.org/officeDocument/2006/relationships/hyperlink" Target="https://doi.org/10.1016/j.envint.2004.03.005" TargetMode="External"/><Relationship Id="rId6" Type="http://schemas.openxmlformats.org/officeDocument/2006/relationships/hyperlink" Target="https://doi.org/10.1016/j.envint.2004.03.005" TargetMode="External"/><Relationship Id="rId5" Type="http://schemas.openxmlformats.org/officeDocument/2006/relationships/hyperlink" Target="https://doi.org/10.1016/j.envint.2004.03.005" TargetMode="External"/><Relationship Id="rId4" Type="http://schemas.openxmlformats.org/officeDocument/2006/relationships/hyperlink" Target="https://doi.org/10.1016/j.envint.2004.03.00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pcc-nggip.iges.or.jp/public/2019rf/pdf/4_Volume4/19R_V4_Ch02_Generic%20Methods.pdf" TargetMode="External"/><Relationship Id="rId7" Type="http://schemas.openxmlformats.org/officeDocument/2006/relationships/hyperlink" Target="https://www.ipcc-nggip.iges.or.jp/public/2006gl/spanish/pdf/5_Volume5/V5_4_Ch4_Bio_Treat.pdf" TargetMode="External"/><Relationship Id="rId2" Type="http://schemas.openxmlformats.org/officeDocument/2006/relationships/hyperlink" Target="https://www.ipcc-nggip.iges.or.jp/public/2019rf/pdf/4_Volume4/19R_V4_Ch02_Generic%20Methods.pdf" TargetMode="External"/><Relationship Id="rId1" Type="http://schemas.openxmlformats.org/officeDocument/2006/relationships/hyperlink" Target="https://www.ipcc-nggip.iges.or.jp/public/2019rf/pdf/4_Volume4/19R_V4_Ch02_Generic%20Methods.pdf" TargetMode="External"/><Relationship Id="rId6" Type="http://schemas.openxmlformats.org/officeDocument/2006/relationships/hyperlink" Target="https://www.ipcc-nggip.iges.or.jp/public/2006gl/spanish/pdf/5_Volume5/V5_4_Ch4_Bio_Treat.pdf" TargetMode="External"/><Relationship Id="rId5" Type="http://schemas.openxmlformats.org/officeDocument/2006/relationships/hyperlink" Target="https://www.ipcc-nggip.iges.or.jp/public/2006gl/spanish/pdf/5_Volume5/V5_4_Ch4_Bio_Treat.pdf" TargetMode="External"/><Relationship Id="rId4" Type="http://schemas.openxmlformats.org/officeDocument/2006/relationships/hyperlink" Target="https://www.ipcc-nggip.iges.or.jp/public/2006gl/spanish/pdf/5_Volume5/V5_4_Ch4_Bio_Tre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585D-C3F2-4B0A-8384-C33BFF23ED6B}">
  <dimension ref="A1:E4"/>
  <sheetViews>
    <sheetView workbookViewId="0">
      <selection activeCell="F6" sqref="F6"/>
    </sheetView>
  </sheetViews>
  <sheetFormatPr baseColWidth="10" defaultRowHeight="14.4" x14ac:dyDescent="0.3"/>
  <sheetData>
    <row r="1" spans="1:5" x14ac:dyDescent="0.3">
      <c r="A1" t="s">
        <v>1</v>
      </c>
      <c r="B1" t="s">
        <v>173</v>
      </c>
      <c r="C1" t="s">
        <v>5</v>
      </c>
      <c r="D1" t="s">
        <v>181</v>
      </c>
      <c r="E1" t="s">
        <v>52</v>
      </c>
    </row>
    <row r="2" spans="1:5" x14ac:dyDescent="0.3">
      <c r="A2" t="s">
        <v>2</v>
      </c>
      <c r="B2">
        <v>1</v>
      </c>
      <c r="C2" s="1" t="s">
        <v>0</v>
      </c>
      <c r="D2" t="s">
        <v>174</v>
      </c>
    </row>
    <row r="3" spans="1:5" x14ac:dyDescent="0.3">
      <c r="A3" t="s">
        <v>222</v>
      </c>
      <c r="B3">
        <v>27</v>
      </c>
      <c r="C3" s="1" t="s">
        <v>0</v>
      </c>
      <c r="D3" t="s">
        <v>174</v>
      </c>
    </row>
    <row r="4" spans="1:5" x14ac:dyDescent="0.3">
      <c r="A4" t="s">
        <v>3</v>
      </c>
      <c r="B4">
        <v>273</v>
      </c>
      <c r="C4" s="1" t="s">
        <v>0</v>
      </c>
      <c r="D4" t="s">
        <v>174</v>
      </c>
    </row>
  </sheetData>
  <phoneticPr fontId="2" type="noConversion"/>
  <hyperlinks>
    <hyperlink ref="C2" r:id="rId1" location="7.6" xr:uid="{F1E44E29-4F26-441B-BBC9-B513C9999D39}"/>
    <hyperlink ref="C3" r:id="rId2" location="7.6" xr:uid="{15C36B37-594A-4111-ACB7-BD1A1FE24C4B}"/>
    <hyperlink ref="C4" r:id="rId3" location="7.6" xr:uid="{2D8172D3-0285-4F95-8655-6F11B83438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F6F7-4894-46DA-AFEF-A99E2BCFFC2A}">
  <dimension ref="A1:M11"/>
  <sheetViews>
    <sheetView zoomScale="57" workbookViewId="0">
      <selection activeCell="A5" sqref="A5"/>
    </sheetView>
  </sheetViews>
  <sheetFormatPr baseColWidth="10" defaultRowHeight="14.4" x14ac:dyDescent="0.3"/>
  <cols>
    <col min="1" max="1" width="29.109375" bestFit="1" customWidth="1"/>
    <col min="2" max="2" width="7.109375" bestFit="1" customWidth="1"/>
    <col min="3" max="3" width="7.6640625" bestFit="1" customWidth="1"/>
    <col min="4" max="4" width="92.33203125" bestFit="1" customWidth="1"/>
  </cols>
  <sheetData>
    <row r="1" spans="1:13" x14ac:dyDescent="0.3">
      <c r="A1" s="28" t="s">
        <v>175</v>
      </c>
      <c r="B1" s="28" t="s">
        <v>162</v>
      </c>
      <c r="C1" s="28" t="s">
        <v>139</v>
      </c>
      <c r="D1" s="28" t="s">
        <v>5</v>
      </c>
      <c r="E1" s="28" t="s">
        <v>4</v>
      </c>
      <c r="F1" s="28" t="s">
        <v>203</v>
      </c>
      <c r="G1" s="28"/>
      <c r="H1" s="28"/>
      <c r="I1" s="28"/>
      <c r="J1" s="28"/>
      <c r="K1" s="28"/>
      <c r="L1" s="26"/>
      <c r="M1" s="26"/>
    </row>
    <row r="2" spans="1:13" ht="20.399999999999999" customHeight="1" x14ac:dyDescent="0.3">
      <c r="A2" s="28" t="s">
        <v>176</v>
      </c>
      <c r="B2" s="28">
        <v>0.01</v>
      </c>
      <c r="C2" s="28"/>
      <c r="D2" s="25" t="s">
        <v>204</v>
      </c>
      <c r="E2" s="28"/>
      <c r="F2" s="28"/>
      <c r="G2" s="28"/>
      <c r="H2" s="28"/>
      <c r="I2" s="28"/>
      <c r="J2" s="28"/>
      <c r="K2" s="28"/>
      <c r="L2" s="26"/>
      <c r="M2" s="26"/>
    </row>
    <row r="3" spans="1:13" ht="19.2" customHeight="1" x14ac:dyDescent="0.3">
      <c r="A3" s="28" t="s">
        <v>177</v>
      </c>
      <c r="B3" s="28">
        <v>0.01</v>
      </c>
      <c r="C3" s="28"/>
      <c r="D3" s="25" t="s">
        <v>204</v>
      </c>
      <c r="E3" s="28"/>
      <c r="F3" s="28"/>
      <c r="G3" s="28"/>
      <c r="H3" s="28"/>
      <c r="I3" s="28"/>
      <c r="J3" s="28"/>
      <c r="K3" s="28"/>
      <c r="L3" s="26"/>
      <c r="M3" s="26"/>
    </row>
    <row r="4" spans="1:13" ht="13.2" customHeight="1" x14ac:dyDescent="0.3">
      <c r="A4" s="28" t="s">
        <v>178</v>
      </c>
      <c r="B4" s="28">
        <v>1.0999999999999999E-2</v>
      </c>
      <c r="C4" s="28"/>
      <c r="D4" s="25" t="s">
        <v>204</v>
      </c>
      <c r="E4" s="28"/>
      <c r="F4" s="28"/>
      <c r="G4" s="28"/>
      <c r="H4" s="28"/>
      <c r="I4" s="28"/>
      <c r="J4" s="28"/>
      <c r="K4" s="28"/>
      <c r="L4" s="26"/>
      <c r="M4" s="26"/>
    </row>
    <row r="5" spans="1:13" ht="16.2" customHeight="1" x14ac:dyDescent="0.3">
      <c r="A5" s="28" t="s">
        <v>179</v>
      </c>
      <c r="B5" s="28">
        <v>0.11</v>
      </c>
      <c r="C5" s="28"/>
      <c r="D5" s="25" t="s">
        <v>204</v>
      </c>
      <c r="E5" s="28"/>
      <c r="F5" s="28"/>
      <c r="G5" s="28"/>
      <c r="H5" s="28"/>
      <c r="I5" s="28"/>
      <c r="J5" s="28"/>
      <c r="K5" s="28"/>
      <c r="L5" s="26"/>
      <c r="M5" s="26"/>
    </row>
    <row r="6" spans="1:13" ht="18.600000000000001" customHeight="1" x14ac:dyDescent="0.3">
      <c r="A6" s="28" t="s">
        <v>180</v>
      </c>
      <c r="B6" s="28">
        <v>0.21</v>
      </c>
      <c r="C6" s="28"/>
      <c r="D6" s="25" t="s">
        <v>204</v>
      </c>
      <c r="E6" s="28"/>
      <c r="F6" s="28"/>
      <c r="G6" s="28"/>
      <c r="H6" s="28"/>
      <c r="I6" s="28"/>
      <c r="J6" s="28"/>
      <c r="K6" s="28"/>
      <c r="L6" s="26"/>
      <c r="M6" s="26"/>
    </row>
    <row r="7" spans="1:13" ht="22.2" customHeight="1" x14ac:dyDescent="0.3">
      <c r="A7" s="28" t="s">
        <v>8</v>
      </c>
      <c r="B7" s="28">
        <v>0.24</v>
      </c>
      <c r="C7" s="28"/>
      <c r="D7" s="25" t="s">
        <v>204</v>
      </c>
      <c r="E7" s="28"/>
      <c r="F7" s="28"/>
      <c r="G7" s="28"/>
      <c r="H7" s="28"/>
      <c r="I7" s="28"/>
      <c r="J7" s="28"/>
      <c r="K7" s="28"/>
      <c r="L7" s="26"/>
      <c r="M7" s="26"/>
    </row>
    <row r="8" spans="1:13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6"/>
      <c r="M8" s="26"/>
    </row>
    <row r="9" spans="1:13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6"/>
      <c r="M9" s="26"/>
    </row>
    <row r="10" spans="1:13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3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</sheetData>
  <hyperlinks>
    <hyperlink ref="D2" r:id="rId1" xr:uid="{43A06616-5924-4F70-BC0A-D990C53F0EED}"/>
    <hyperlink ref="D3" r:id="rId2" xr:uid="{0790AFE0-F20E-4967-BA20-7DDB1674650A}"/>
    <hyperlink ref="D4" r:id="rId3" xr:uid="{BE2AB1EB-2215-4D7F-B8F1-0AFEC26643B4}"/>
    <hyperlink ref="D5" r:id="rId4" xr:uid="{09ECC679-E0C3-46D2-9C44-16AF1CEABE78}"/>
    <hyperlink ref="D6" r:id="rId5" xr:uid="{96824AB2-BB1E-4153-ADDD-A322F9A44478}"/>
    <hyperlink ref="D7" r:id="rId6" xr:uid="{ECB91742-E10E-4FE3-BEB8-8401508667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483F-5540-4E01-8807-0D82FF112838}">
  <dimension ref="A1:H15"/>
  <sheetViews>
    <sheetView zoomScale="88" workbookViewId="0">
      <selection activeCell="F16" sqref="F16"/>
    </sheetView>
  </sheetViews>
  <sheetFormatPr baseColWidth="10" defaultRowHeight="14.4" x14ac:dyDescent="0.3"/>
  <cols>
    <col min="1" max="1" width="22.33203125" bestFit="1" customWidth="1"/>
  </cols>
  <sheetData>
    <row r="1" spans="1:8" x14ac:dyDescent="0.3">
      <c r="A1" t="s">
        <v>182</v>
      </c>
      <c r="B1" t="s">
        <v>183</v>
      </c>
      <c r="C1" t="s">
        <v>37</v>
      </c>
      <c r="D1" t="s">
        <v>38</v>
      </c>
      <c r="E1" t="s">
        <v>39</v>
      </c>
      <c r="F1" t="s">
        <v>5</v>
      </c>
      <c r="G1" t="s">
        <v>4</v>
      </c>
      <c r="H1" t="s">
        <v>52</v>
      </c>
    </row>
    <row r="2" spans="1:8" x14ac:dyDescent="0.3">
      <c r="A2" t="s">
        <v>40</v>
      </c>
      <c r="B2">
        <v>1</v>
      </c>
      <c r="C2">
        <v>0.7</v>
      </c>
      <c r="D2">
        <v>0</v>
      </c>
      <c r="E2">
        <v>0</v>
      </c>
      <c r="F2" s="1" t="s">
        <v>41</v>
      </c>
    </row>
    <row r="3" spans="1:8" x14ac:dyDescent="0.3">
      <c r="A3" t="s">
        <v>42</v>
      </c>
      <c r="B3">
        <v>1</v>
      </c>
      <c r="C3">
        <v>4.0999999999999996</v>
      </c>
      <c r="D3">
        <v>0</v>
      </c>
      <c r="E3">
        <v>0</v>
      </c>
      <c r="F3" s="1" t="s">
        <v>41</v>
      </c>
    </row>
    <row r="4" spans="1:8" x14ac:dyDescent="0.3">
      <c r="A4" t="s">
        <v>43</v>
      </c>
      <c r="B4">
        <v>1</v>
      </c>
      <c r="C4">
        <v>3.1</v>
      </c>
      <c r="D4">
        <v>0</v>
      </c>
      <c r="E4">
        <v>0</v>
      </c>
      <c r="F4" s="1" t="s">
        <v>41</v>
      </c>
    </row>
    <row r="5" spans="1:8" x14ac:dyDescent="0.3">
      <c r="A5" t="s">
        <v>44</v>
      </c>
      <c r="B5">
        <v>1</v>
      </c>
      <c r="C5">
        <v>2.2000000000000002</v>
      </c>
      <c r="D5">
        <v>0</v>
      </c>
      <c r="E5">
        <v>0</v>
      </c>
      <c r="F5" s="1" t="s">
        <v>41</v>
      </c>
    </row>
    <row r="6" spans="1:8" x14ac:dyDescent="0.3">
      <c r="A6" t="s">
        <v>184</v>
      </c>
      <c r="B6">
        <v>1</v>
      </c>
      <c r="C6">
        <v>6</v>
      </c>
      <c r="D6">
        <v>0</v>
      </c>
      <c r="E6">
        <v>0</v>
      </c>
      <c r="F6" s="1" t="s">
        <v>186</v>
      </c>
    </row>
    <row r="7" spans="1:8" x14ac:dyDescent="0.3">
      <c r="A7" t="s">
        <v>185</v>
      </c>
      <c r="B7">
        <v>1</v>
      </c>
      <c r="C7">
        <v>13</v>
      </c>
      <c r="D7">
        <v>9</v>
      </c>
      <c r="E7">
        <v>1</v>
      </c>
      <c r="F7" s="1" t="s">
        <v>186</v>
      </c>
    </row>
    <row r="8" spans="1:8" x14ac:dyDescent="0.3">
      <c r="A8" t="s">
        <v>45</v>
      </c>
      <c r="B8">
        <v>1</v>
      </c>
      <c r="C8">
        <v>0.64</v>
      </c>
      <c r="D8">
        <v>0</v>
      </c>
      <c r="E8">
        <v>0</v>
      </c>
      <c r="F8" s="1" t="s">
        <v>41</v>
      </c>
    </row>
    <row r="9" spans="1:8" x14ac:dyDescent="0.3">
      <c r="A9" t="s">
        <v>46</v>
      </c>
      <c r="B9">
        <f>AVERAGE(0.18,0.25)</f>
        <v>0.215</v>
      </c>
      <c r="C9">
        <f>AVERAGE(0.52,0.61)</f>
        <v>0.56499999999999995</v>
      </c>
      <c r="D9">
        <f>AVERAGE(0.13,0.21)</f>
        <v>0.16999999999999998</v>
      </c>
      <c r="E9">
        <f>AVERAGE(0.35,0.6)</f>
        <v>0.47499999999999998</v>
      </c>
      <c r="F9" s="1" t="s">
        <v>41</v>
      </c>
    </row>
    <row r="10" spans="1:8" x14ac:dyDescent="0.3">
      <c r="A10" t="s">
        <v>47</v>
      </c>
      <c r="B10">
        <f>AVERAGE(0.07,0.08)</f>
        <v>7.5000000000000011E-2</v>
      </c>
      <c r="C10">
        <f>AVERAGE(0.28,0.53)</f>
        <v>0.40500000000000003</v>
      </c>
      <c r="D10">
        <f>AVERAGE(0.06,0.11)</f>
        <v>8.4999999999999992E-2</v>
      </c>
      <c r="E10">
        <f>AVERAGE(0.21,0.49)</f>
        <v>0.35</v>
      </c>
      <c r="F10" s="1" t="s">
        <v>41</v>
      </c>
    </row>
    <row r="11" spans="1:8" x14ac:dyDescent="0.3">
      <c r="A11" t="s">
        <v>48</v>
      </c>
      <c r="B11">
        <f>AVERAGE(0.18,0.25)</f>
        <v>0.215</v>
      </c>
      <c r="C11">
        <f>AVERAGE(0.46,0.7)</f>
        <v>0.57999999999999996</v>
      </c>
      <c r="D11">
        <f>AVERAGE(0.18,0.53)</f>
        <v>0.35499999999999998</v>
      </c>
      <c r="E11">
        <f>AVERAGE(0.29,0.37)</f>
        <v>0.32999999999999996</v>
      </c>
      <c r="F11" s="1" t="s">
        <v>41</v>
      </c>
    </row>
    <row r="12" spans="1:8" x14ac:dyDescent="0.3">
      <c r="A12" t="s">
        <v>49</v>
      </c>
      <c r="B12">
        <f>AVERAGE(0.033,0.1)</f>
        <v>6.6500000000000004E-2</v>
      </c>
      <c r="C12">
        <f>AVERAGE(0.37,0.7)</f>
        <v>0.53499999999999992</v>
      </c>
      <c r="D12">
        <f>AVERAGE(0.09,0.2)</f>
        <v>0.14500000000000002</v>
      </c>
      <c r="E12">
        <f>AVERAGE(0.15,0.46)</f>
        <v>0.30499999999999999</v>
      </c>
      <c r="F12" s="1" t="s">
        <v>41</v>
      </c>
    </row>
    <row r="13" spans="1:8" x14ac:dyDescent="0.3">
      <c r="A13" t="s">
        <v>50</v>
      </c>
      <c r="B13">
        <f>AVERAGE(0.25,0.7)</f>
        <v>0.47499999999999998</v>
      </c>
      <c r="C13">
        <f>AVERAGE(1.25,2.6)</f>
        <v>1.925</v>
      </c>
      <c r="D13">
        <f>AVERAGE(0.38,1.76)</f>
        <v>1.07</v>
      </c>
      <c r="E13">
        <f>AVERAGE(0.38,1.72)</f>
        <v>1.05</v>
      </c>
      <c r="F13" s="1" t="s">
        <v>41</v>
      </c>
    </row>
    <row r="14" spans="1:8" x14ac:dyDescent="0.3">
      <c r="A14" t="s">
        <v>51</v>
      </c>
      <c r="B14">
        <f>AVERAGE(0.075,0.16)</f>
        <v>0.11749999999999999</v>
      </c>
      <c r="C14">
        <f>AVERAGE(0.72,1.07)</f>
        <v>0.89500000000000002</v>
      </c>
      <c r="D14">
        <f>AVERAGE(0.17,0.49)</f>
        <v>0.33</v>
      </c>
      <c r="E14">
        <f>AVERAGE(0.28,0.83)</f>
        <v>0.55499999999999994</v>
      </c>
      <c r="F14" s="1" t="s">
        <v>41</v>
      </c>
    </row>
    <row r="15" spans="1:8" x14ac:dyDescent="0.3">
      <c r="A15" t="s">
        <v>135</v>
      </c>
      <c r="B15">
        <v>1</v>
      </c>
      <c r="C15">
        <v>0</v>
      </c>
      <c r="D15">
        <v>0</v>
      </c>
      <c r="E15">
        <v>0</v>
      </c>
    </row>
  </sheetData>
  <hyperlinks>
    <hyperlink ref="F2" r:id="rId1" xr:uid="{A22303A2-BDC0-4D56-A0AC-E71E2810F2A3}"/>
    <hyperlink ref="F3" r:id="rId2" xr:uid="{8E88F7CB-A45D-4BD3-A856-A16D5721DF9F}"/>
    <hyperlink ref="F4" r:id="rId3" xr:uid="{55E9DB41-95B0-4DD6-B849-173FBED8E791}"/>
    <hyperlink ref="F5" r:id="rId4" xr:uid="{C3A9710A-2938-4B3D-A476-89793D5C8E3D}"/>
    <hyperlink ref="F8" r:id="rId5" xr:uid="{1BF4BE7C-5B06-41E0-BF24-FD211A6F52EC}"/>
    <hyperlink ref="F9:F14" r:id="rId6" display="https://biblioteca.inia.cl/server/api/core/bitstreams/102077ad-5b60-46b2-8b35-c0e8250a2965/content" xr:uid="{9962657E-5298-44AE-A3F1-30B2AEB5634D}"/>
    <hyperlink ref="F6" r:id="rId7" xr:uid="{18BEFFE1-9C00-4197-B68D-6B3CB0EB0678}"/>
    <hyperlink ref="F7" r:id="rId8" xr:uid="{FA6B5CE6-C82A-4372-B2EF-7A6AE7C9C0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107F-DBEB-4D30-AD0D-B354D2E10F9A}">
  <dimension ref="A1:J67"/>
  <sheetViews>
    <sheetView zoomScale="52" workbookViewId="0">
      <selection activeCell="P1" sqref="P1:T1048576"/>
    </sheetView>
  </sheetViews>
  <sheetFormatPr baseColWidth="10" defaultRowHeight="14.4" x14ac:dyDescent="0.3"/>
  <cols>
    <col min="1" max="1" width="31.6640625" bestFit="1" customWidth="1"/>
  </cols>
  <sheetData>
    <row r="1" spans="1:10" ht="15" thickBot="1" x14ac:dyDescent="0.35">
      <c r="A1" s="2" t="s">
        <v>187</v>
      </c>
      <c r="B1" s="3" t="s">
        <v>36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139</v>
      </c>
      <c r="H1" s="4" t="s">
        <v>5</v>
      </c>
      <c r="I1" s="3" t="s">
        <v>4</v>
      </c>
      <c r="J1" t="s">
        <v>52</v>
      </c>
    </row>
    <row r="2" spans="1:10" x14ac:dyDescent="0.3">
      <c r="A2" s="5" t="s">
        <v>10</v>
      </c>
      <c r="B2" t="s">
        <v>11</v>
      </c>
      <c r="C2">
        <v>33.5</v>
      </c>
      <c r="D2">
        <v>0.05</v>
      </c>
      <c r="E2">
        <v>0.24</v>
      </c>
      <c r="F2" s="6">
        <v>1.1120000000000001</v>
      </c>
      <c r="G2" s="6" t="s">
        <v>141</v>
      </c>
      <c r="H2" s="7" t="s">
        <v>12</v>
      </c>
      <c r="I2">
        <v>2019</v>
      </c>
    </row>
    <row r="3" spans="1:10" x14ac:dyDescent="0.3">
      <c r="A3" s="5" t="s">
        <v>10</v>
      </c>
      <c r="B3" t="s">
        <v>13</v>
      </c>
      <c r="C3">
        <v>33.5</v>
      </c>
      <c r="D3">
        <v>0.05</v>
      </c>
      <c r="E3">
        <v>0.24</v>
      </c>
      <c r="F3" s="6">
        <v>2.2490000000000001</v>
      </c>
      <c r="G3" s="6" t="s">
        <v>141</v>
      </c>
      <c r="H3" s="7" t="s">
        <v>12</v>
      </c>
      <c r="I3">
        <v>2019</v>
      </c>
    </row>
    <row r="4" spans="1:10" x14ac:dyDescent="0.3">
      <c r="A4" s="5" t="s">
        <v>10</v>
      </c>
      <c r="B4" t="s">
        <v>14</v>
      </c>
      <c r="C4">
        <v>33.5</v>
      </c>
      <c r="D4">
        <v>0.05</v>
      </c>
      <c r="E4">
        <v>0.24</v>
      </c>
      <c r="F4" s="6">
        <v>2.1240000000000001</v>
      </c>
      <c r="G4" s="6" t="s">
        <v>141</v>
      </c>
      <c r="H4" s="7" t="s">
        <v>12</v>
      </c>
      <c r="I4">
        <v>2019</v>
      </c>
    </row>
    <row r="5" spans="1:10" x14ac:dyDescent="0.3">
      <c r="A5" s="5" t="s">
        <v>10</v>
      </c>
      <c r="B5" t="s">
        <v>15</v>
      </c>
      <c r="C5">
        <v>33.5</v>
      </c>
      <c r="D5">
        <v>0.05</v>
      </c>
      <c r="E5">
        <v>0.24</v>
      </c>
      <c r="F5" s="6">
        <v>3.6429999999999998</v>
      </c>
      <c r="G5" s="6" t="s">
        <v>141</v>
      </c>
      <c r="H5" s="7" t="s">
        <v>12</v>
      </c>
      <c r="I5">
        <v>2019</v>
      </c>
    </row>
    <row r="6" spans="1:10" x14ac:dyDescent="0.3">
      <c r="A6" s="5" t="s">
        <v>10</v>
      </c>
      <c r="B6" t="s">
        <v>16</v>
      </c>
      <c r="C6">
        <v>33.5</v>
      </c>
      <c r="D6">
        <v>0.05</v>
      </c>
      <c r="E6">
        <v>0.24</v>
      </c>
      <c r="F6" s="6">
        <v>2.85</v>
      </c>
      <c r="G6" s="6" t="s">
        <v>141</v>
      </c>
      <c r="H6" s="7" t="s">
        <v>17</v>
      </c>
      <c r="I6">
        <v>2011</v>
      </c>
    </row>
    <row r="7" spans="1:10" x14ac:dyDescent="0.3">
      <c r="A7" s="5" t="s">
        <v>10</v>
      </c>
      <c r="B7" t="s">
        <v>18</v>
      </c>
      <c r="C7">
        <v>33.5</v>
      </c>
      <c r="D7">
        <v>0.05</v>
      </c>
      <c r="E7">
        <v>0.24</v>
      </c>
      <c r="F7" s="6">
        <v>2.8359999999999999</v>
      </c>
      <c r="G7" s="6" t="s">
        <v>141</v>
      </c>
      <c r="H7" s="7" t="s">
        <v>12</v>
      </c>
      <c r="I7">
        <v>2019</v>
      </c>
    </row>
    <row r="8" spans="1:10" ht="15" thickBot="1" x14ac:dyDescent="0.35">
      <c r="A8" s="8" t="s">
        <v>10</v>
      </c>
      <c r="B8" s="9" t="s">
        <v>19</v>
      </c>
      <c r="C8" s="9">
        <v>33.5</v>
      </c>
      <c r="D8" s="9">
        <v>0.05</v>
      </c>
      <c r="E8" s="9">
        <v>0.24</v>
      </c>
      <c r="F8" s="10">
        <f>AVERAGE(F2:F7)</f>
        <v>2.4689999999999999</v>
      </c>
      <c r="G8" s="6" t="s">
        <v>141</v>
      </c>
      <c r="H8" s="11"/>
      <c r="I8" s="9"/>
    </row>
    <row r="9" spans="1:10" x14ac:dyDescent="0.3">
      <c r="A9" s="5" t="s">
        <v>20</v>
      </c>
      <c r="B9" t="s">
        <v>11</v>
      </c>
      <c r="C9">
        <v>27</v>
      </c>
      <c r="D9">
        <v>0.05</v>
      </c>
      <c r="E9">
        <v>0.24</v>
      </c>
      <c r="F9" s="6">
        <v>0.95099999999999996</v>
      </c>
      <c r="G9" s="6" t="s">
        <v>141</v>
      </c>
      <c r="H9" s="7" t="s">
        <v>12</v>
      </c>
      <c r="I9">
        <v>2019</v>
      </c>
    </row>
    <row r="10" spans="1:10" x14ac:dyDescent="0.3">
      <c r="A10" s="5" t="s">
        <v>20</v>
      </c>
      <c r="B10" t="s">
        <v>13</v>
      </c>
      <c r="C10">
        <v>27</v>
      </c>
      <c r="D10">
        <v>0.05</v>
      </c>
      <c r="E10">
        <v>0.24</v>
      </c>
      <c r="F10" s="6">
        <v>1.87</v>
      </c>
      <c r="G10" s="6" t="s">
        <v>141</v>
      </c>
      <c r="H10" s="7" t="s">
        <v>12</v>
      </c>
      <c r="I10">
        <v>2019</v>
      </c>
    </row>
    <row r="11" spans="1:10" x14ac:dyDescent="0.3">
      <c r="A11" s="5" t="s">
        <v>20</v>
      </c>
      <c r="B11" t="s">
        <v>14</v>
      </c>
      <c r="C11">
        <v>27</v>
      </c>
      <c r="D11">
        <v>0.05</v>
      </c>
      <c r="E11">
        <v>0.24</v>
      </c>
      <c r="F11" s="6">
        <v>1.7789999999999999</v>
      </c>
      <c r="G11" s="6" t="s">
        <v>141</v>
      </c>
      <c r="H11" s="7" t="s">
        <v>12</v>
      </c>
      <c r="I11">
        <v>2019</v>
      </c>
    </row>
    <row r="12" spans="1:10" x14ac:dyDescent="0.3">
      <c r="A12" s="5" t="s">
        <v>20</v>
      </c>
      <c r="B12" t="s">
        <v>15</v>
      </c>
      <c r="C12">
        <v>27</v>
      </c>
      <c r="D12">
        <v>0.05</v>
      </c>
      <c r="E12">
        <v>0.24</v>
      </c>
      <c r="F12" s="6">
        <v>3.0230000000000001</v>
      </c>
      <c r="G12" s="6" t="s">
        <v>141</v>
      </c>
      <c r="H12" s="7" t="s">
        <v>12</v>
      </c>
      <c r="I12">
        <v>2019</v>
      </c>
    </row>
    <row r="13" spans="1:10" x14ac:dyDescent="0.3">
      <c r="A13" s="5" t="s">
        <v>20</v>
      </c>
      <c r="B13" t="s">
        <v>16</v>
      </c>
      <c r="C13">
        <v>27</v>
      </c>
      <c r="D13">
        <v>0.05</v>
      </c>
      <c r="E13">
        <v>0.24</v>
      </c>
      <c r="F13" s="6">
        <v>2.35</v>
      </c>
      <c r="G13" s="6" t="s">
        <v>141</v>
      </c>
      <c r="H13" s="7" t="s">
        <v>17</v>
      </c>
      <c r="I13">
        <v>2011</v>
      </c>
    </row>
    <row r="14" spans="1:10" x14ac:dyDescent="0.3">
      <c r="A14" s="5" t="s">
        <v>20</v>
      </c>
      <c r="B14" t="s">
        <v>18</v>
      </c>
      <c r="C14">
        <v>27</v>
      </c>
      <c r="D14">
        <v>0.05</v>
      </c>
      <c r="E14">
        <v>0.24</v>
      </c>
      <c r="F14" s="6">
        <v>2.3580000000000001</v>
      </c>
      <c r="G14" s="6" t="s">
        <v>141</v>
      </c>
      <c r="H14" s="7" t="s">
        <v>12</v>
      </c>
      <c r="I14">
        <v>2019</v>
      </c>
    </row>
    <row r="15" spans="1:10" ht="15" thickBot="1" x14ac:dyDescent="0.35">
      <c r="A15" s="8" t="s">
        <v>20</v>
      </c>
      <c r="B15" s="9" t="s">
        <v>19</v>
      </c>
      <c r="C15" s="9">
        <v>27</v>
      </c>
      <c r="D15" s="9">
        <v>0.05</v>
      </c>
      <c r="E15" s="9">
        <v>0.24</v>
      </c>
      <c r="F15" s="10">
        <f>AVERAGE(F9:F14)</f>
        <v>2.0551666666666666</v>
      </c>
      <c r="G15" s="6" t="s">
        <v>141</v>
      </c>
      <c r="H15" s="11"/>
      <c r="I15" s="9"/>
    </row>
    <row r="16" spans="1:10" x14ac:dyDescent="0.3">
      <c r="A16" s="5" t="s">
        <v>21</v>
      </c>
      <c r="B16" t="s">
        <v>11</v>
      </c>
      <c r="C16">
        <v>46</v>
      </c>
      <c r="D16">
        <v>0.15</v>
      </c>
      <c r="E16">
        <v>0.24</v>
      </c>
      <c r="F16" s="6">
        <v>1.611</v>
      </c>
      <c r="G16" s="6" t="s">
        <v>141</v>
      </c>
      <c r="H16" s="7" t="s">
        <v>12</v>
      </c>
      <c r="I16">
        <v>2019</v>
      </c>
    </row>
    <row r="17" spans="1:9" x14ac:dyDescent="0.3">
      <c r="A17" s="5" t="s">
        <v>21</v>
      </c>
      <c r="B17" t="s">
        <v>13</v>
      </c>
      <c r="C17">
        <v>46</v>
      </c>
      <c r="D17">
        <v>0.15</v>
      </c>
      <c r="E17">
        <v>0.24</v>
      </c>
      <c r="F17" s="6">
        <v>1.7390000000000001</v>
      </c>
      <c r="G17" s="6" t="s">
        <v>141</v>
      </c>
      <c r="H17" s="7" t="s">
        <v>12</v>
      </c>
      <c r="I17">
        <v>2019</v>
      </c>
    </row>
    <row r="18" spans="1:9" x14ac:dyDescent="0.3">
      <c r="A18" s="5" t="s">
        <v>21</v>
      </c>
      <c r="B18" t="s">
        <v>14</v>
      </c>
      <c r="C18">
        <v>46</v>
      </c>
      <c r="D18">
        <v>0.15</v>
      </c>
      <c r="E18">
        <v>0.24</v>
      </c>
      <c r="F18" s="6">
        <v>1.746</v>
      </c>
      <c r="G18" s="6" t="s">
        <v>141</v>
      </c>
      <c r="H18" s="7" t="s">
        <v>12</v>
      </c>
      <c r="I18">
        <v>2019</v>
      </c>
    </row>
    <row r="19" spans="1:9" x14ac:dyDescent="0.3">
      <c r="A19" s="5" t="s">
        <v>21</v>
      </c>
      <c r="B19" t="s">
        <v>15</v>
      </c>
      <c r="C19">
        <v>46</v>
      </c>
      <c r="D19">
        <v>0.15</v>
      </c>
      <c r="E19">
        <v>0.24</v>
      </c>
      <c r="F19" s="6">
        <v>3.0019999999999998</v>
      </c>
      <c r="G19" s="6" t="s">
        <v>141</v>
      </c>
      <c r="H19" s="7" t="s">
        <v>12</v>
      </c>
      <c r="I19">
        <v>2019</v>
      </c>
    </row>
    <row r="20" spans="1:9" x14ac:dyDescent="0.3">
      <c r="A20" s="5" t="s">
        <v>21</v>
      </c>
      <c r="B20" t="s">
        <v>16</v>
      </c>
      <c r="C20">
        <v>46</v>
      </c>
      <c r="D20">
        <v>0.15</v>
      </c>
      <c r="E20">
        <v>0.24</v>
      </c>
      <c r="F20" s="6">
        <v>1.18</v>
      </c>
      <c r="G20" s="6" t="s">
        <v>141</v>
      </c>
      <c r="H20" s="7" t="s">
        <v>17</v>
      </c>
      <c r="I20">
        <v>2011</v>
      </c>
    </row>
    <row r="21" spans="1:9" x14ac:dyDescent="0.3">
      <c r="A21" s="5" t="s">
        <v>21</v>
      </c>
      <c r="B21" t="s">
        <v>18</v>
      </c>
      <c r="C21">
        <v>46</v>
      </c>
      <c r="D21">
        <v>0.15</v>
      </c>
      <c r="E21">
        <v>0.24</v>
      </c>
      <c r="F21" s="6">
        <v>1.905</v>
      </c>
      <c r="G21" s="6" t="s">
        <v>141</v>
      </c>
      <c r="H21" s="7" t="s">
        <v>12</v>
      </c>
      <c r="I21">
        <v>2019</v>
      </c>
    </row>
    <row r="22" spans="1:9" ht="15" thickBot="1" x14ac:dyDescent="0.35">
      <c r="A22" s="8" t="s">
        <v>21</v>
      </c>
      <c r="B22" s="9" t="s">
        <v>19</v>
      </c>
      <c r="C22" s="9">
        <v>46</v>
      </c>
      <c r="D22" s="9">
        <v>0.15</v>
      </c>
      <c r="E22" s="9">
        <v>0.24</v>
      </c>
      <c r="F22" s="10">
        <f>AVERAGE(F16:F21)</f>
        <v>1.863833333333333</v>
      </c>
      <c r="G22" s="6" t="s">
        <v>141</v>
      </c>
      <c r="H22" s="11"/>
      <c r="I22" s="9"/>
    </row>
    <row r="23" spans="1:9" x14ac:dyDescent="0.3">
      <c r="A23" s="5" t="s">
        <v>22</v>
      </c>
      <c r="B23" t="s">
        <v>11</v>
      </c>
      <c r="C23">
        <v>30</v>
      </c>
      <c r="D23">
        <v>0.1</v>
      </c>
      <c r="E23">
        <v>0.24</v>
      </c>
      <c r="F23" s="6">
        <v>1.0209999999999999</v>
      </c>
      <c r="G23" s="6" t="s">
        <v>141</v>
      </c>
      <c r="H23" s="7" t="s">
        <v>12</v>
      </c>
      <c r="I23">
        <v>2019</v>
      </c>
    </row>
    <row r="24" spans="1:9" x14ac:dyDescent="0.3">
      <c r="A24" s="5" t="s">
        <v>22</v>
      </c>
      <c r="B24" t="s">
        <v>13</v>
      </c>
      <c r="C24">
        <v>30</v>
      </c>
      <c r="D24">
        <v>0.1</v>
      </c>
      <c r="E24">
        <v>0.24</v>
      </c>
      <c r="F24" s="6">
        <v>1.571</v>
      </c>
      <c r="G24" s="6" t="s">
        <v>141</v>
      </c>
      <c r="H24" s="7" t="s">
        <v>12</v>
      </c>
      <c r="I24">
        <v>2019</v>
      </c>
    </row>
    <row r="25" spans="1:9" x14ac:dyDescent="0.3">
      <c r="A25" s="5" t="s">
        <v>22</v>
      </c>
      <c r="B25" t="s">
        <v>14</v>
      </c>
      <c r="C25">
        <v>30</v>
      </c>
      <c r="D25">
        <v>0.1</v>
      </c>
      <c r="E25">
        <v>0.24</v>
      </c>
      <c r="F25" s="6">
        <v>1.526</v>
      </c>
      <c r="G25" s="6" t="s">
        <v>141</v>
      </c>
      <c r="H25" s="7" t="s">
        <v>12</v>
      </c>
      <c r="I25">
        <v>2019</v>
      </c>
    </row>
    <row r="26" spans="1:9" x14ac:dyDescent="0.3">
      <c r="A26" s="5" t="s">
        <v>22</v>
      </c>
      <c r="B26" t="s">
        <v>15</v>
      </c>
      <c r="C26">
        <v>30</v>
      </c>
      <c r="D26">
        <v>0.1</v>
      </c>
      <c r="E26">
        <v>0.24</v>
      </c>
      <c r="F26" s="6">
        <v>2.6150000000000002</v>
      </c>
      <c r="G26" s="6" t="s">
        <v>141</v>
      </c>
      <c r="H26" s="7" t="s">
        <v>12</v>
      </c>
      <c r="I26">
        <v>2019</v>
      </c>
    </row>
    <row r="27" spans="1:9" x14ac:dyDescent="0.3">
      <c r="A27" s="5" t="s">
        <v>22</v>
      </c>
      <c r="B27" t="s">
        <v>16</v>
      </c>
      <c r="C27">
        <v>30</v>
      </c>
      <c r="D27">
        <v>0.1</v>
      </c>
      <c r="E27">
        <v>0.24</v>
      </c>
      <c r="F27" s="6">
        <v>1.65</v>
      </c>
      <c r="G27" s="6" t="s">
        <v>141</v>
      </c>
      <c r="H27" s="7" t="s">
        <v>17</v>
      </c>
      <c r="I27">
        <v>2011</v>
      </c>
    </row>
    <row r="28" spans="1:9" x14ac:dyDescent="0.3">
      <c r="A28" s="5" t="s">
        <v>22</v>
      </c>
      <c r="B28" t="s">
        <v>18</v>
      </c>
      <c r="C28">
        <v>30</v>
      </c>
      <c r="D28">
        <v>0.1</v>
      </c>
      <c r="E28">
        <v>0.24</v>
      </c>
      <c r="F28" s="6">
        <v>1.8959999999999999</v>
      </c>
      <c r="G28" s="6" t="s">
        <v>141</v>
      </c>
      <c r="H28" s="7" t="s">
        <v>12</v>
      </c>
      <c r="I28">
        <v>2019</v>
      </c>
    </row>
    <row r="29" spans="1:9" ht="15" thickBot="1" x14ac:dyDescent="0.35">
      <c r="A29" s="8" t="s">
        <v>22</v>
      </c>
      <c r="B29" s="9" t="s">
        <v>19</v>
      </c>
      <c r="C29" s="9">
        <v>30</v>
      </c>
      <c r="D29" s="9">
        <v>0.1</v>
      </c>
      <c r="E29" s="9">
        <v>0.24</v>
      </c>
      <c r="F29" s="10">
        <f>AVERAGE(F23:F28)</f>
        <v>1.7131666666666667</v>
      </c>
      <c r="G29" s="6" t="s">
        <v>141</v>
      </c>
      <c r="H29" s="11"/>
      <c r="I29" s="9"/>
    </row>
    <row r="30" spans="1:9" x14ac:dyDescent="0.3">
      <c r="A30" s="5" t="s">
        <v>23</v>
      </c>
      <c r="B30" t="s">
        <v>24</v>
      </c>
      <c r="C30">
        <v>26</v>
      </c>
      <c r="D30">
        <v>0.05</v>
      </c>
      <c r="E30">
        <v>0.24</v>
      </c>
      <c r="F30" s="6">
        <v>0.82</v>
      </c>
      <c r="G30" s="6" t="s">
        <v>141</v>
      </c>
      <c r="H30" s="7" t="s">
        <v>17</v>
      </c>
      <c r="I30">
        <v>2011</v>
      </c>
    </row>
    <row r="31" spans="1:9" x14ac:dyDescent="0.3">
      <c r="A31" s="5" t="s">
        <v>23</v>
      </c>
      <c r="B31" t="s">
        <v>25</v>
      </c>
      <c r="C31">
        <v>26</v>
      </c>
      <c r="D31">
        <v>0.05</v>
      </c>
      <c r="E31">
        <v>0.24</v>
      </c>
      <c r="F31" s="6">
        <v>1.58</v>
      </c>
      <c r="G31" s="6" t="s">
        <v>141</v>
      </c>
      <c r="H31" s="7" t="s">
        <v>17</v>
      </c>
      <c r="I31">
        <v>2011</v>
      </c>
    </row>
    <row r="32" spans="1:9" x14ac:dyDescent="0.3">
      <c r="A32" s="5" t="s">
        <v>23</v>
      </c>
      <c r="B32" t="s">
        <v>26</v>
      </c>
      <c r="C32">
        <v>26</v>
      </c>
      <c r="D32">
        <v>0.05</v>
      </c>
      <c r="E32">
        <v>0.24</v>
      </c>
      <c r="F32" s="6">
        <v>1.44</v>
      </c>
      <c r="G32" s="6" t="s">
        <v>141</v>
      </c>
      <c r="H32" s="7" t="s">
        <v>17</v>
      </c>
      <c r="I32">
        <v>2011</v>
      </c>
    </row>
    <row r="33" spans="1:9" x14ac:dyDescent="0.3">
      <c r="A33" s="5" t="s">
        <v>23</v>
      </c>
      <c r="B33" t="s">
        <v>27</v>
      </c>
      <c r="C33">
        <v>26</v>
      </c>
      <c r="D33">
        <v>0.05</v>
      </c>
      <c r="E33">
        <v>0.24</v>
      </c>
      <c r="F33" s="6">
        <v>2.2200000000000002</v>
      </c>
      <c r="G33" s="6" t="s">
        <v>141</v>
      </c>
      <c r="H33" s="7" t="s">
        <v>17</v>
      </c>
      <c r="I33">
        <v>2011</v>
      </c>
    </row>
    <row r="34" spans="1:9" ht="15" thickBot="1" x14ac:dyDescent="0.35">
      <c r="A34" s="8" t="s">
        <v>23</v>
      </c>
      <c r="B34" s="9" t="s">
        <v>19</v>
      </c>
      <c r="C34" s="9">
        <v>26</v>
      </c>
      <c r="D34" s="9">
        <v>0.05</v>
      </c>
      <c r="E34" s="9">
        <v>0.24</v>
      </c>
      <c r="F34" s="10">
        <f>AVERAGE(F30:F33)</f>
        <v>1.5150000000000001</v>
      </c>
      <c r="G34" s="6" t="s">
        <v>141</v>
      </c>
      <c r="H34" s="11"/>
      <c r="I34" s="9"/>
    </row>
    <row r="35" spans="1:9" x14ac:dyDescent="0.3">
      <c r="A35" s="5" t="s">
        <v>28</v>
      </c>
      <c r="B35" t="s">
        <v>24</v>
      </c>
      <c r="C35">
        <v>15.5</v>
      </c>
      <c r="D35">
        <v>0.01</v>
      </c>
      <c r="E35">
        <v>0.24</v>
      </c>
      <c r="F35" s="6">
        <v>0.67</v>
      </c>
      <c r="G35" s="6" t="s">
        <v>141</v>
      </c>
      <c r="H35" s="7" t="s">
        <v>17</v>
      </c>
      <c r="I35">
        <v>2011</v>
      </c>
    </row>
    <row r="36" spans="1:9" x14ac:dyDescent="0.3">
      <c r="A36" s="5" t="s">
        <v>28</v>
      </c>
      <c r="B36" t="s">
        <v>25</v>
      </c>
      <c r="C36">
        <v>15.5</v>
      </c>
      <c r="D36">
        <v>0.01</v>
      </c>
      <c r="E36">
        <v>0.24</v>
      </c>
      <c r="F36" s="6">
        <v>2.0299999999999998</v>
      </c>
      <c r="G36" s="6" t="s">
        <v>141</v>
      </c>
      <c r="H36" s="7" t="s">
        <v>17</v>
      </c>
      <c r="I36">
        <v>2011</v>
      </c>
    </row>
    <row r="37" spans="1:9" x14ac:dyDescent="0.3">
      <c r="A37" s="5" t="s">
        <v>28</v>
      </c>
      <c r="B37" t="s">
        <v>26</v>
      </c>
      <c r="C37">
        <v>15.5</v>
      </c>
      <c r="D37">
        <v>0.01</v>
      </c>
      <c r="E37">
        <v>0.24</v>
      </c>
      <c r="F37" s="6">
        <v>1.76</v>
      </c>
      <c r="G37" s="6" t="s">
        <v>141</v>
      </c>
      <c r="H37" s="7" t="s">
        <v>17</v>
      </c>
      <c r="I37">
        <v>2011</v>
      </c>
    </row>
    <row r="38" spans="1:9" x14ac:dyDescent="0.3">
      <c r="A38" s="5" t="s">
        <v>28</v>
      </c>
      <c r="B38" t="s">
        <v>27</v>
      </c>
      <c r="C38">
        <v>15.5</v>
      </c>
      <c r="D38">
        <v>0.01</v>
      </c>
      <c r="E38">
        <v>0.24</v>
      </c>
      <c r="F38" s="6">
        <v>2.2000000000000002</v>
      </c>
      <c r="G38" s="6" t="s">
        <v>141</v>
      </c>
      <c r="H38" s="7" t="s">
        <v>17</v>
      </c>
      <c r="I38">
        <v>2011</v>
      </c>
    </row>
    <row r="39" spans="1:9" ht="15" thickBot="1" x14ac:dyDescent="0.35">
      <c r="A39" s="8" t="s">
        <v>28</v>
      </c>
      <c r="B39" s="9" t="s">
        <v>19</v>
      </c>
      <c r="C39" s="9">
        <v>15.5</v>
      </c>
      <c r="D39" s="9">
        <v>0.01</v>
      </c>
      <c r="E39" s="9">
        <v>0.24</v>
      </c>
      <c r="F39" s="10">
        <f>AVERAGE(F35:F38)</f>
        <v>1.665</v>
      </c>
      <c r="G39" s="6" t="s">
        <v>141</v>
      </c>
      <c r="H39" s="11"/>
      <c r="I39" s="9"/>
    </row>
    <row r="40" spans="1:9" x14ac:dyDescent="0.3">
      <c r="A40" s="5" t="s">
        <v>29</v>
      </c>
      <c r="B40" t="s">
        <v>30</v>
      </c>
      <c r="C40">
        <v>21</v>
      </c>
      <c r="D40">
        <v>0.08</v>
      </c>
      <c r="E40">
        <v>0.24</v>
      </c>
      <c r="F40" s="6">
        <v>0.56999999999999995</v>
      </c>
      <c r="G40" s="6" t="s">
        <v>141</v>
      </c>
      <c r="H40" s="7" t="s">
        <v>17</v>
      </c>
      <c r="I40">
        <v>2011</v>
      </c>
    </row>
    <row r="41" spans="1:9" x14ac:dyDescent="0.3">
      <c r="A41" s="5" t="s">
        <v>29</v>
      </c>
      <c r="B41" t="s">
        <v>16</v>
      </c>
      <c r="C41">
        <v>21</v>
      </c>
      <c r="D41">
        <v>0.08</v>
      </c>
      <c r="E41">
        <v>0.24</v>
      </c>
      <c r="F41" s="6">
        <v>0.71</v>
      </c>
      <c r="G41" s="6" t="s">
        <v>141</v>
      </c>
      <c r="H41" s="7" t="s">
        <v>17</v>
      </c>
      <c r="I41">
        <v>2011</v>
      </c>
    </row>
    <row r="42" spans="1:9" x14ac:dyDescent="0.3">
      <c r="A42" s="5" t="s">
        <v>29</v>
      </c>
      <c r="B42" t="s">
        <v>26</v>
      </c>
      <c r="C42">
        <v>21</v>
      </c>
      <c r="D42">
        <v>0.08</v>
      </c>
      <c r="E42">
        <v>0.24</v>
      </c>
      <c r="F42" s="6">
        <v>0.69</v>
      </c>
      <c r="G42" s="6" t="s">
        <v>141</v>
      </c>
      <c r="H42" s="7" t="s">
        <v>17</v>
      </c>
      <c r="I42">
        <v>2011</v>
      </c>
    </row>
    <row r="43" spans="1:9" x14ac:dyDescent="0.3">
      <c r="A43" s="5" t="s">
        <v>29</v>
      </c>
      <c r="B43" t="s">
        <v>31</v>
      </c>
      <c r="C43">
        <v>21</v>
      </c>
      <c r="D43">
        <v>0.08</v>
      </c>
      <c r="E43">
        <v>0.24</v>
      </c>
      <c r="F43" s="6">
        <v>1.36</v>
      </c>
      <c r="G43" s="6" t="s">
        <v>141</v>
      </c>
      <c r="H43" s="7" t="s">
        <v>17</v>
      </c>
      <c r="I43">
        <v>2011</v>
      </c>
    </row>
    <row r="44" spans="1:9" ht="15" thickBot="1" x14ac:dyDescent="0.35">
      <c r="A44" s="8" t="s">
        <v>29</v>
      </c>
      <c r="B44" s="9" t="s">
        <v>19</v>
      </c>
      <c r="C44" s="9">
        <v>21</v>
      </c>
      <c r="D44" s="9">
        <v>0.08</v>
      </c>
      <c r="E44" s="9">
        <v>0.24</v>
      </c>
      <c r="F44" s="10">
        <f>AVERAGE(F40:F43)</f>
        <v>0.83250000000000002</v>
      </c>
      <c r="G44" s="6" t="s">
        <v>141</v>
      </c>
      <c r="H44" s="11"/>
      <c r="I44" s="9"/>
    </row>
    <row r="45" spans="1:9" ht="15" thickBot="1" x14ac:dyDescent="0.35">
      <c r="A45" s="2" t="s">
        <v>188</v>
      </c>
      <c r="B45" s="3" t="s">
        <v>189</v>
      </c>
      <c r="C45" s="3">
        <v>10</v>
      </c>
      <c r="D45" s="3">
        <v>0.08</v>
      </c>
      <c r="E45" s="3">
        <v>0.24</v>
      </c>
      <c r="F45" s="15">
        <v>0.38</v>
      </c>
      <c r="G45" s="6" t="s">
        <v>141</v>
      </c>
      <c r="H45" s="16" t="s">
        <v>190</v>
      </c>
      <c r="I45" s="4">
        <v>2023</v>
      </c>
    </row>
    <row r="46" spans="1:9" x14ac:dyDescent="0.3">
      <c r="A46" s="5" t="s">
        <v>32</v>
      </c>
      <c r="B46" t="s">
        <v>30</v>
      </c>
      <c r="C46">
        <v>18</v>
      </c>
      <c r="D46">
        <v>0.08</v>
      </c>
      <c r="E46">
        <v>0.24</v>
      </c>
      <c r="F46" s="6">
        <v>0.64</v>
      </c>
      <c r="G46" s="6" t="s">
        <v>141</v>
      </c>
      <c r="H46" s="7" t="s">
        <v>17</v>
      </c>
      <c r="I46">
        <v>2011</v>
      </c>
    </row>
    <row r="47" spans="1:9" x14ac:dyDescent="0.3">
      <c r="A47" s="5" t="s">
        <v>32</v>
      </c>
      <c r="B47" t="s">
        <v>16</v>
      </c>
      <c r="C47">
        <v>18</v>
      </c>
      <c r="D47">
        <v>0.08</v>
      </c>
      <c r="E47">
        <v>0.24</v>
      </c>
      <c r="F47" s="6">
        <v>0.81</v>
      </c>
      <c r="G47" s="6" t="s">
        <v>141</v>
      </c>
      <c r="H47" s="7" t="s">
        <v>17</v>
      </c>
      <c r="I47">
        <v>2011</v>
      </c>
    </row>
    <row r="48" spans="1:9" x14ac:dyDescent="0.3">
      <c r="A48" s="5" t="s">
        <v>32</v>
      </c>
      <c r="B48" t="s">
        <v>26</v>
      </c>
      <c r="C48">
        <v>18</v>
      </c>
      <c r="D48">
        <v>0.08</v>
      </c>
      <c r="E48">
        <v>0.24</v>
      </c>
      <c r="F48" s="6">
        <v>0.73</v>
      </c>
      <c r="G48" s="6" t="s">
        <v>141</v>
      </c>
      <c r="H48" s="7" t="s">
        <v>17</v>
      </c>
      <c r="I48">
        <v>2011</v>
      </c>
    </row>
    <row r="49" spans="1:9" x14ac:dyDescent="0.3">
      <c r="A49" s="5" t="s">
        <v>32</v>
      </c>
      <c r="B49" t="s">
        <v>31</v>
      </c>
      <c r="C49">
        <v>18</v>
      </c>
      <c r="D49">
        <v>0.08</v>
      </c>
      <c r="E49">
        <v>0.24</v>
      </c>
      <c r="F49" s="6">
        <v>1.33</v>
      </c>
      <c r="G49" s="6" t="s">
        <v>141</v>
      </c>
      <c r="H49" s="7" t="s">
        <v>17</v>
      </c>
      <c r="I49">
        <v>2011</v>
      </c>
    </row>
    <row r="50" spans="1:9" ht="15" thickBot="1" x14ac:dyDescent="0.35">
      <c r="A50" s="8" t="s">
        <v>32</v>
      </c>
      <c r="B50" s="9" t="s">
        <v>19</v>
      </c>
      <c r="C50" s="9">
        <v>18</v>
      </c>
      <c r="D50" s="9">
        <v>0.08</v>
      </c>
      <c r="E50" s="9">
        <v>0.24</v>
      </c>
      <c r="F50" s="10">
        <f>AVERAGE(F46:F49)</f>
        <v>0.87750000000000006</v>
      </c>
      <c r="G50" s="6" t="s">
        <v>141</v>
      </c>
      <c r="H50" s="11"/>
      <c r="I50" s="9"/>
    </row>
    <row r="51" spans="1:9" x14ac:dyDescent="0.3">
      <c r="A51" s="5" t="s">
        <v>33</v>
      </c>
      <c r="B51" t="s">
        <v>30</v>
      </c>
      <c r="C51">
        <v>15</v>
      </c>
      <c r="D51">
        <v>0.11</v>
      </c>
      <c r="E51">
        <v>0.24</v>
      </c>
      <c r="F51" s="6">
        <v>0.73</v>
      </c>
      <c r="G51" s="6" t="s">
        <v>141</v>
      </c>
      <c r="H51" s="7" t="s">
        <v>17</v>
      </c>
      <c r="I51">
        <v>2011</v>
      </c>
    </row>
    <row r="52" spans="1:9" x14ac:dyDescent="0.3">
      <c r="A52" s="5" t="s">
        <v>33</v>
      </c>
      <c r="B52" t="s">
        <v>16</v>
      </c>
      <c r="C52">
        <v>15</v>
      </c>
      <c r="D52">
        <v>0.11</v>
      </c>
      <c r="E52">
        <v>0.24</v>
      </c>
      <c r="F52" s="6">
        <v>1.4</v>
      </c>
      <c r="G52" s="6" t="s">
        <v>141</v>
      </c>
      <c r="H52" s="7" t="s">
        <v>17</v>
      </c>
      <c r="I52">
        <v>2011</v>
      </c>
    </row>
    <row r="53" spans="1:9" x14ac:dyDescent="0.3">
      <c r="A53" s="5" t="s">
        <v>33</v>
      </c>
      <c r="B53" t="s">
        <v>26</v>
      </c>
      <c r="C53">
        <v>15</v>
      </c>
      <c r="D53">
        <v>0.11</v>
      </c>
      <c r="E53">
        <v>0.24</v>
      </c>
      <c r="F53" s="6">
        <v>1.27</v>
      </c>
      <c r="G53" s="6" t="s">
        <v>141</v>
      </c>
      <c r="H53" s="7" t="s">
        <v>17</v>
      </c>
      <c r="I53">
        <v>2011</v>
      </c>
    </row>
    <row r="54" spans="1:9" x14ac:dyDescent="0.3">
      <c r="A54" s="5" t="s">
        <v>33</v>
      </c>
      <c r="B54" t="s">
        <v>31</v>
      </c>
      <c r="C54">
        <v>15</v>
      </c>
      <c r="D54">
        <v>0.11</v>
      </c>
      <c r="E54">
        <v>0.24</v>
      </c>
      <c r="F54" s="6">
        <v>1.73</v>
      </c>
      <c r="G54" s="6" t="s">
        <v>141</v>
      </c>
      <c r="H54" s="7" t="s">
        <v>17</v>
      </c>
      <c r="I54">
        <v>2011</v>
      </c>
    </row>
    <row r="55" spans="1:9" ht="15" thickBot="1" x14ac:dyDescent="0.35">
      <c r="A55" s="5" t="s">
        <v>33</v>
      </c>
      <c r="B55" t="s">
        <v>19</v>
      </c>
      <c r="C55">
        <v>15</v>
      </c>
      <c r="D55">
        <v>0.11</v>
      </c>
      <c r="E55">
        <v>0.24</v>
      </c>
      <c r="F55" s="6">
        <f>AVERAGE(F51:F54)</f>
        <v>1.2825</v>
      </c>
      <c r="G55" s="6" t="s">
        <v>141</v>
      </c>
      <c r="H55" s="7"/>
    </row>
    <row r="56" spans="1:9" x14ac:dyDescent="0.3">
      <c r="A56" s="17" t="s">
        <v>34</v>
      </c>
      <c r="B56" s="18" t="s">
        <v>30</v>
      </c>
      <c r="C56" s="18">
        <v>0</v>
      </c>
      <c r="D56" s="18">
        <v>0.08</v>
      </c>
      <c r="E56" s="18">
        <v>0.24</v>
      </c>
      <c r="F56" s="18">
        <v>0.18</v>
      </c>
      <c r="G56" s="19" t="s">
        <v>141</v>
      </c>
      <c r="H56" s="20" t="s">
        <v>17</v>
      </c>
      <c r="I56" s="21">
        <v>2011</v>
      </c>
    </row>
    <row r="57" spans="1:9" x14ac:dyDescent="0.3">
      <c r="A57" s="5" t="s">
        <v>34</v>
      </c>
      <c r="B57" t="s">
        <v>16</v>
      </c>
      <c r="C57">
        <v>0</v>
      </c>
      <c r="D57">
        <v>0.08</v>
      </c>
      <c r="E57">
        <v>0.24</v>
      </c>
      <c r="F57">
        <v>0.25</v>
      </c>
      <c r="G57" s="6" t="s">
        <v>141</v>
      </c>
      <c r="H57" s="22" t="s">
        <v>17</v>
      </c>
      <c r="I57" s="23">
        <v>2011</v>
      </c>
    </row>
    <row r="58" spans="1:9" x14ac:dyDescent="0.3">
      <c r="A58" s="5" t="s">
        <v>34</v>
      </c>
      <c r="B58" t="s">
        <v>26</v>
      </c>
      <c r="C58">
        <v>0</v>
      </c>
      <c r="D58">
        <v>0.08</v>
      </c>
      <c r="E58">
        <v>0.24</v>
      </c>
      <c r="F58">
        <v>0.19</v>
      </c>
      <c r="G58" s="6" t="s">
        <v>141</v>
      </c>
      <c r="H58" s="22" t="s">
        <v>17</v>
      </c>
      <c r="I58" s="23">
        <v>2011</v>
      </c>
    </row>
    <row r="59" spans="1:9" x14ac:dyDescent="0.3">
      <c r="A59" s="5" t="s">
        <v>34</v>
      </c>
      <c r="B59" t="s">
        <v>31</v>
      </c>
      <c r="C59">
        <v>0</v>
      </c>
      <c r="D59">
        <v>0.08</v>
      </c>
      <c r="E59">
        <v>0.24</v>
      </c>
      <c r="F59">
        <v>0.26</v>
      </c>
      <c r="G59" s="6" t="s">
        <v>141</v>
      </c>
      <c r="H59" s="22" t="s">
        <v>17</v>
      </c>
      <c r="I59" s="23">
        <v>2011</v>
      </c>
    </row>
    <row r="60" spans="1:9" ht="15" thickBot="1" x14ac:dyDescent="0.35">
      <c r="A60" s="8" t="s">
        <v>34</v>
      </c>
      <c r="B60" s="9" t="s">
        <v>19</v>
      </c>
      <c r="C60" s="9">
        <v>0</v>
      </c>
      <c r="D60" s="9">
        <v>0.08</v>
      </c>
      <c r="E60" s="9">
        <v>0.24</v>
      </c>
      <c r="F60" s="9">
        <f>AVERAGE(F56:F59)</f>
        <v>0.22</v>
      </c>
      <c r="G60" s="10" t="s">
        <v>141</v>
      </c>
      <c r="H60" s="9"/>
      <c r="I60" s="24"/>
    </row>
    <row r="61" spans="1:9" x14ac:dyDescent="0.3">
      <c r="A61" s="17" t="s">
        <v>35</v>
      </c>
      <c r="B61" s="18" t="s">
        <v>30</v>
      </c>
      <c r="C61" s="18">
        <v>0</v>
      </c>
      <c r="D61" s="18">
        <v>0.11</v>
      </c>
      <c r="E61" s="18">
        <v>0.24</v>
      </c>
      <c r="F61" s="18">
        <v>0.23</v>
      </c>
      <c r="G61" s="19" t="s">
        <v>141</v>
      </c>
      <c r="H61" s="20" t="s">
        <v>17</v>
      </c>
      <c r="I61" s="21">
        <v>2011</v>
      </c>
    </row>
    <row r="62" spans="1:9" x14ac:dyDescent="0.3">
      <c r="A62" s="5" t="s">
        <v>35</v>
      </c>
      <c r="B62" t="s">
        <v>16</v>
      </c>
      <c r="C62">
        <v>0</v>
      </c>
      <c r="D62">
        <v>0.11</v>
      </c>
      <c r="E62">
        <v>0.24</v>
      </c>
      <c r="F62">
        <v>0.23</v>
      </c>
      <c r="G62" s="6" t="s">
        <v>141</v>
      </c>
      <c r="H62" s="22" t="s">
        <v>17</v>
      </c>
      <c r="I62" s="23">
        <v>2011</v>
      </c>
    </row>
    <row r="63" spans="1:9" x14ac:dyDescent="0.3">
      <c r="A63" s="5" t="s">
        <v>35</v>
      </c>
      <c r="B63" t="s">
        <v>26</v>
      </c>
      <c r="C63">
        <v>0</v>
      </c>
      <c r="D63">
        <v>0.11</v>
      </c>
      <c r="E63">
        <v>0.24</v>
      </c>
      <c r="F63">
        <v>0.23</v>
      </c>
      <c r="G63" s="6" t="s">
        <v>141</v>
      </c>
      <c r="H63" s="22" t="s">
        <v>17</v>
      </c>
      <c r="I63" s="23">
        <v>2011</v>
      </c>
    </row>
    <row r="64" spans="1:9" x14ac:dyDescent="0.3">
      <c r="A64" s="5" t="s">
        <v>35</v>
      </c>
      <c r="B64" t="s">
        <v>31</v>
      </c>
      <c r="C64">
        <v>0</v>
      </c>
      <c r="D64">
        <v>0.11</v>
      </c>
      <c r="E64">
        <v>0.24</v>
      </c>
      <c r="F64">
        <v>0.23</v>
      </c>
      <c r="G64" s="6" t="s">
        <v>141</v>
      </c>
      <c r="H64" s="22" t="s">
        <v>17</v>
      </c>
      <c r="I64" s="23">
        <v>2011</v>
      </c>
    </row>
    <row r="65" spans="1:9" ht="15" thickBot="1" x14ac:dyDescent="0.35">
      <c r="A65" s="8" t="s">
        <v>35</v>
      </c>
      <c r="B65" s="9" t="s">
        <v>19</v>
      </c>
      <c r="C65" s="9">
        <v>0</v>
      </c>
      <c r="D65" s="9">
        <v>0.11</v>
      </c>
      <c r="E65" s="9">
        <v>0.24</v>
      </c>
      <c r="F65" s="9">
        <f>AVERAGE(F61:F64)</f>
        <v>0.23</v>
      </c>
      <c r="G65" s="10" t="s">
        <v>141</v>
      </c>
      <c r="H65" s="9"/>
      <c r="I65" s="24"/>
    </row>
    <row r="66" spans="1:9" ht="15" thickBot="1" x14ac:dyDescent="0.35">
      <c r="A66" s="5" t="s">
        <v>191</v>
      </c>
      <c r="B66" t="s">
        <v>19</v>
      </c>
      <c r="C66">
        <v>0</v>
      </c>
      <c r="D66">
        <v>0.11</v>
      </c>
      <c r="E66">
        <v>0.24</v>
      </c>
      <c r="F66">
        <v>5.52</v>
      </c>
      <c r="G66" s="10" t="s">
        <v>141</v>
      </c>
      <c r="H66" s="1" t="s">
        <v>192</v>
      </c>
      <c r="I66" s="23">
        <v>2021</v>
      </c>
    </row>
    <row r="67" spans="1:9" x14ac:dyDescent="0.3">
      <c r="A67" s="5" t="s">
        <v>135</v>
      </c>
    </row>
  </sheetData>
  <hyperlinks>
    <hyperlink ref="H2" r:id="rId1" xr:uid="{13E22AD9-3868-4C89-8EA9-4A743FA88A2C}"/>
    <hyperlink ref="H3:H7" r:id="rId2" display="https://www.fertilizerseurope.com/wp-content/uploads/2020/01/The-carbon-footprint-of-fertilizer-production_Regional-reference-values.pdf" xr:uid="{61369333-C965-4FC7-B2F8-6BEDD88F7DB1}"/>
    <hyperlink ref="H9:H28" r:id="rId3" display="https://www.fertilizerseurope.com/wp-content/uploads/2020/01/The-carbon-footprint-of-fertilizer-production_Regional-reference-values.pdf" xr:uid="{E88C714F-6DDA-4FEE-B9DF-A8DA3739188F}"/>
    <hyperlink ref="H6" r:id="rId4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A7ABCCE3-463B-42BC-9346-5790BA331EB5}"/>
    <hyperlink ref="H13" r:id="rId5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AEDF0E51-49DB-4468-B39E-83658AFCE386}"/>
    <hyperlink ref="H30:H33" r:id="rId6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82F59853-13EE-4CF7-9C7C-DA5B3008D8A7}"/>
    <hyperlink ref="H35:H38" r:id="rId7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082E7AD4-2821-49D8-BD7D-196D20628FC8}"/>
    <hyperlink ref="H40:H43" r:id="rId8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33884682-C04A-4056-A81A-AC3C9F2671F6}"/>
    <hyperlink ref="H46:H49" r:id="rId9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FB3E1239-A2BB-4B08-AE20-3EEABE4365BB}"/>
    <hyperlink ref="H27" r:id="rId10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76A951A6-07A4-4BC5-BBC8-068AABCE7BE4}"/>
    <hyperlink ref="H20" r:id="rId11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9E0803F3-C139-4B7D-BC3D-38BF8572DA31}"/>
    <hyperlink ref="H51:H54" r:id="rId12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A74DC38B-B3E9-4F64-9A76-801DA1848F96}"/>
    <hyperlink ref="H56" r:id="rId13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2A9FBACB-5629-4164-B94D-04B2E7146476}"/>
    <hyperlink ref="H57:H64" r:id="rId14" display="https://www.researchgate.net/profile/Frank-Brentrup-2/publication/312553933_Carbon_footprint_analysis_of_mineral_fertilizer_production_in_Europe_and_other_world_regions/links/5881ec8d4585150dde4012fe/Carbon-footprint-analysis-of-mineral-fertilizer-production-in-Europe-and-other-world-regions.pdf" xr:uid="{E0C4B58A-D1C9-4680-9DB5-F8B416C3FBE9}"/>
    <hyperlink ref="H66" r:id="rId15" xr:uid="{20E0BA80-7D68-4135-A0A0-143B384CDC8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4E3C-E4DD-44C3-B7CE-ECD88A1A5A89}">
  <dimension ref="A1:K46"/>
  <sheetViews>
    <sheetView zoomScale="42" workbookViewId="0">
      <selection activeCell="K1" sqref="K1:M1048576"/>
    </sheetView>
  </sheetViews>
  <sheetFormatPr baseColWidth="10" defaultRowHeight="14.4" x14ac:dyDescent="0.3"/>
  <sheetData>
    <row r="1" spans="1:11" x14ac:dyDescent="0.3">
      <c r="A1" s="12" t="s">
        <v>53</v>
      </c>
      <c r="B1" s="12" t="s">
        <v>54</v>
      </c>
      <c r="C1" s="12" t="s">
        <v>140</v>
      </c>
      <c r="D1" s="12" t="s">
        <v>139</v>
      </c>
      <c r="E1" s="12" t="s">
        <v>5</v>
      </c>
      <c r="F1" s="14" t="s">
        <v>4</v>
      </c>
      <c r="G1" s="14" t="s">
        <v>52</v>
      </c>
      <c r="K1" t="s">
        <v>5</v>
      </c>
    </row>
    <row r="2" spans="1:11" x14ac:dyDescent="0.3">
      <c r="A2" s="12" t="s">
        <v>55</v>
      </c>
      <c r="B2" s="12" t="s">
        <v>56</v>
      </c>
      <c r="C2" s="12">
        <v>6.3</v>
      </c>
      <c r="D2" s="12" t="s">
        <v>193</v>
      </c>
      <c r="E2" s="13" t="s">
        <v>57</v>
      </c>
    </row>
    <row r="3" spans="1:11" x14ac:dyDescent="0.3">
      <c r="A3" s="12" t="s">
        <v>58</v>
      </c>
      <c r="B3" s="12" t="s">
        <v>56</v>
      </c>
      <c r="C3" s="12">
        <v>5.0999999999999996</v>
      </c>
      <c r="D3" s="12" t="s">
        <v>193</v>
      </c>
      <c r="E3" s="13" t="s">
        <v>57</v>
      </c>
    </row>
    <row r="4" spans="1:11" x14ac:dyDescent="0.3">
      <c r="A4" s="12" t="s">
        <v>59</v>
      </c>
      <c r="B4" s="12" t="s">
        <v>56</v>
      </c>
      <c r="C4" s="12">
        <v>3.9</v>
      </c>
      <c r="D4" s="12" t="s">
        <v>193</v>
      </c>
      <c r="E4" s="13" t="s">
        <v>57</v>
      </c>
    </row>
    <row r="5" spans="1:11" x14ac:dyDescent="0.3">
      <c r="A5" s="12" t="s">
        <v>55</v>
      </c>
      <c r="B5" s="12" t="s">
        <v>60</v>
      </c>
      <c r="C5" s="12">
        <v>1.7</v>
      </c>
      <c r="D5" s="12" t="s">
        <v>193</v>
      </c>
      <c r="E5" s="13" t="s">
        <v>57</v>
      </c>
    </row>
    <row r="6" spans="1:11" x14ac:dyDescent="0.3">
      <c r="A6" s="12" t="s">
        <v>55</v>
      </c>
      <c r="B6" s="12" t="s">
        <v>61</v>
      </c>
      <c r="C6" s="12">
        <v>2.7</v>
      </c>
      <c r="D6" s="12" t="s">
        <v>193</v>
      </c>
      <c r="E6" s="13" t="s">
        <v>62</v>
      </c>
    </row>
    <row r="7" spans="1:11" x14ac:dyDescent="0.3">
      <c r="A7" s="12" t="s">
        <v>55</v>
      </c>
      <c r="B7" s="12" t="s">
        <v>63</v>
      </c>
      <c r="C7" s="12">
        <v>5.6</v>
      </c>
      <c r="D7" s="12" t="s">
        <v>193</v>
      </c>
      <c r="E7" s="13" t="s">
        <v>64</v>
      </c>
    </row>
    <row r="8" spans="1:11" x14ac:dyDescent="0.3">
      <c r="A8" s="12" t="s">
        <v>55</v>
      </c>
      <c r="B8" s="12" t="s">
        <v>65</v>
      </c>
      <c r="C8" s="12">
        <v>3.8</v>
      </c>
      <c r="D8" s="12" t="s">
        <v>193</v>
      </c>
      <c r="E8" s="13" t="s">
        <v>66</v>
      </c>
    </row>
    <row r="9" spans="1:11" x14ac:dyDescent="0.3">
      <c r="A9" s="12" t="s">
        <v>55</v>
      </c>
      <c r="B9" s="12" t="s">
        <v>67</v>
      </c>
      <c r="C9" s="12">
        <v>8.6999999999999993</v>
      </c>
      <c r="D9" s="12" t="s">
        <v>193</v>
      </c>
      <c r="E9" s="13" t="s">
        <v>68</v>
      </c>
    </row>
    <row r="10" spans="1:11" x14ac:dyDescent="0.3">
      <c r="A10" s="12" t="s">
        <v>55</v>
      </c>
      <c r="B10" s="12" t="s">
        <v>69</v>
      </c>
      <c r="C10" s="12">
        <v>2.8</v>
      </c>
      <c r="D10" s="12" t="s">
        <v>193</v>
      </c>
      <c r="E10" s="13" t="s">
        <v>70</v>
      </c>
    </row>
    <row r="11" spans="1:11" x14ac:dyDescent="0.3">
      <c r="A11" s="12" t="s">
        <v>55</v>
      </c>
      <c r="B11" s="12" t="s">
        <v>71</v>
      </c>
      <c r="C11" s="12">
        <v>3.4</v>
      </c>
      <c r="D11" s="12" t="s">
        <v>193</v>
      </c>
      <c r="E11" s="13" t="s">
        <v>72</v>
      </c>
    </row>
    <row r="12" spans="1:11" x14ac:dyDescent="0.3">
      <c r="A12" s="12" t="s">
        <v>55</v>
      </c>
      <c r="B12" s="12" t="s">
        <v>73</v>
      </c>
      <c r="C12" s="12">
        <v>7.3</v>
      </c>
      <c r="D12" s="12" t="s">
        <v>193</v>
      </c>
      <c r="E12" s="13" t="s">
        <v>74</v>
      </c>
    </row>
    <row r="13" spans="1:11" x14ac:dyDescent="0.3">
      <c r="A13" s="12" t="s">
        <v>55</v>
      </c>
      <c r="B13" s="12" t="s">
        <v>75</v>
      </c>
      <c r="C13" s="12">
        <v>4</v>
      </c>
      <c r="D13" s="12" t="s">
        <v>193</v>
      </c>
      <c r="E13" s="13" t="s">
        <v>76</v>
      </c>
    </row>
    <row r="14" spans="1:11" x14ac:dyDescent="0.3">
      <c r="A14" s="12" t="s">
        <v>55</v>
      </c>
      <c r="B14" s="12" t="s">
        <v>77</v>
      </c>
      <c r="C14" s="12">
        <v>5.9</v>
      </c>
      <c r="D14" s="12" t="s">
        <v>193</v>
      </c>
      <c r="E14" s="13" t="s">
        <v>78</v>
      </c>
    </row>
    <row r="15" spans="1:11" x14ac:dyDescent="0.3">
      <c r="A15" s="12" t="s">
        <v>55</v>
      </c>
      <c r="B15" s="12" t="s">
        <v>79</v>
      </c>
      <c r="C15" s="12">
        <v>1.6</v>
      </c>
      <c r="D15" s="12" t="s">
        <v>193</v>
      </c>
      <c r="E15" s="13" t="s">
        <v>80</v>
      </c>
    </row>
    <row r="16" spans="1:11" x14ac:dyDescent="0.3">
      <c r="A16" s="12" t="s">
        <v>55</v>
      </c>
      <c r="B16" s="12" t="s">
        <v>81</v>
      </c>
      <c r="C16" s="12">
        <v>8</v>
      </c>
      <c r="D16" s="12" t="s">
        <v>193</v>
      </c>
      <c r="E16" s="13" t="s">
        <v>82</v>
      </c>
    </row>
    <row r="17" spans="1:5" x14ac:dyDescent="0.3">
      <c r="A17" s="12" t="s">
        <v>55</v>
      </c>
      <c r="B17" s="12" t="s">
        <v>83</v>
      </c>
      <c r="C17" s="12">
        <v>5.4</v>
      </c>
      <c r="D17" s="12" t="s">
        <v>193</v>
      </c>
      <c r="E17" s="13" t="s">
        <v>84</v>
      </c>
    </row>
    <row r="18" spans="1:5" x14ac:dyDescent="0.3">
      <c r="A18" s="12" t="s">
        <v>55</v>
      </c>
      <c r="B18" s="12" t="s">
        <v>85</v>
      </c>
      <c r="C18" s="12">
        <v>3.2</v>
      </c>
      <c r="D18" s="12" t="s">
        <v>193</v>
      </c>
      <c r="E18" s="13" t="s">
        <v>86</v>
      </c>
    </row>
    <row r="19" spans="1:5" x14ac:dyDescent="0.3">
      <c r="A19" s="12" t="s">
        <v>55</v>
      </c>
      <c r="B19" s="12" t="s">
        <v>87</v>
      </c>
      <c r="C19" s="12">
        <v>10.4</v>
      </c>
      <c r="D19" s="12" t="s">
        <v>193</v>
      </c>
      <c r="E19" s="13" t="s">
        <v>88</v>
      </c>
    </row>
    <row r="20" spans="1:5" x14ac:dyDescent="0.3">
      <c r="A20" s="12" t="s">
        <v>55</v>
      </c>
      <c r="B20" s="12" t="s">
        <v>89</v>
      </c>
      <c r="C20" s="12">
        <v>7.1</v>
      </c>
      <c r="D20" s="12" t="s">
        <v>193</v>
      </c>
      <c r="E20" s="13" t="s">
        <v>90</v>
      </c>
    </row>
    <row r="21" spans="1:5" x14ac:dyDescent="0.3">
      <c r="A21" s="12" t="s">
        <v>55</v>
      </c>
      <c r="B21" s="12" t="s">
        <v>91</v>
      </c>
      <c r="C21" s="12">
        <v>9.1</v>
      </c>
      <c r="D21" s="12" t="s">
        <v>193</v>
      </c>
      <c r="E21" s="13" t="s">
        <v>92</v>
      </c>
    </row>
    <row r="22" spans="1:5" x14ac:dyDescent="0.3">
      <c r="A22" s="12" t="s">
        <v>55</v>
      </c>
      <c r="B22" s="12" t="s">
        <v>93</v>
      </c>
      <c r="C22" s="12">
        <v>5.8</v>
      </c>
      <c r="D22" s="12" t="s">
        <v>193</v>
      </c>
      <c r="E22" s="13" t="s">
        <v>94</v>
      </c>
    </row>
    <row r="23" spans="1:5" x14ac:dyDescent="0.3">
      <c r="A23" s="12" t="s">
        <v>55</v>
      </c>
      <c r="B23" s="12" t="s">
        <v>95</v>
      </c>
      <c r="C23" s="12">
        <v>2.6</v>
      </c>
      <c r="D23" s="12" t="s">
        <v>193</v>
      </c>
      <c r="E23" s="13" t="s">
        <v>96</v>
      </c>
    </row>
    <row r="24" spans="1:5" x14ac:dyDescent="0.3">
      <c r="A24" s="12" t="s">
        <v>55</v>
      </c>
      <c r="B24" s="12" t="s">
        <v>97</v>
      </c>
      <c r="C24" s="12">
        <v>5.5</v>
      </c>
      <c r="D24" s="12" t="s">
        <v>193</v>
      </c>
      <c r="E24" s="13" t="s">
        <v>98</v>
      </c>
    </row>
    <row r="25" spans="1:5" x14ac:dyDescent="0.3">
      <c r="A25" s="12" t="s">
        <v>55</v>
      </c>
      <c r="B25" s="12" t="s">
        <v>99</v>
      </c>
      <c r="C25" s="12">
        <v>9.1999999999999993</v>
      </c>
      <c r="D25" s="12" t="s">
        <v>193</v>
      </c>
      <c r="E25" s="13" t="s">
        <v>100</v>
      </c>
    </row>
    <row r="26" spans="1:5" x14ac:dyDescent="0.3">
      <c r="A26" s="12" t="s">
        <v>55</v>
      </c>
      <c r="B26" s="12" t="s">
        <v>101</v>
      </c>
      <c r="C26" s="12">
        <v>5.8</v>
      </c>
      <c r="D26" s="12" t="s">
        <v>193</v>
      </c>
      <c r="E26" s="13" t="s">
        <v>102</v>
      </c>
    </row>
    <row r="27" spans="1:5" x14ac:dyDescent="0.3">
      <c r="A27" s="12" t="s">
        <v>55</v>
      </c>
      <c r="B27" s="12" t="s">
        <v>103</v>
      </c>
      <c r="C27" s="12">
        <v>3</v>
      </c>
      <c r="D27" s="12" t="s">
        <v>193</v>
      </c>
      <c r="E27" s="13" t="s">
        <v>104</v>
      </c>
    </row>
    <row r="28" spans="1:5" x14ac:dyDescent="0.3">
      <c r="A28" s="12" t="s">
        <v>59</v>
      </c>
      <c r="B28" s="12" t="s">
        <v>105</v>
      </c>
      <c r="C28" s="12">
        <v>1.2</v>
      </c>
      <c r="D28" s="12" t="s">
        <v>193</v>
      </c>
      <c r="E28" s="13" t="s">
        <v>106</v>
      </c>
    </row>
    <row r="29" spans="1:5" x14ac:dyDescent="0.3">
      <c r="A29" s="12" t="s">
        <v>59</v>
      </c>
      <c r="B29" s="12" t="s">
        <v>107</v>
      </c>
      <c r="C29" s="12">
        <v>2</v>
      </c>
      <c r="D29" s="12" t="s">
        <v>193</v>
      </c>
      <c r="E29" s="13" t="s">
        <v>108</v>
      </c>
    </row>
    <row r="30" spans="1:5" x14ac:dyDescent="0.3">
      <c r="A30" s="12" t="s">
        <v>59</v>
      </c>
      <c r="B30" s="12" t="s">
        <v>109</v>
      </c>
      <c r="C30" s="12">
        <v>2.2999999999999998</v>
      </c>
      <c r="D30" s="12" t="s">
        <v>193</v>
      </c>
      <c r="E30" s="13" t="s">
        <v>110</v>
      </c>
    </row>
    <row r="31" spans="1:5" x14ac:dyDescent="0.3">
      <c r="A31" s="12" t="s">
        <v>59</v>
      </c>
      <c r="B31" s="12" t="s">
        <v>111</v>
      </c>
      <c r="C31" s="12">
        <v>8</v>
      </c>
      <c r="D31" s="12" t="s">
        <v>193</v>
      </c>
      <c r="E31" s="13" t="s">
        <v>112</v>
      </c>
    </row>
    <row r="32" spans="1:5" x14ac:dyDescent="0.3">
      <c r="A32" s="12" t="s">
        <v>58</v>
      </c>
      <c r="B32" s="12" t="s">
        <v>113</v>
      </c>
      <c r="C32" s="12">
        <v>3.2</v>
      </c>
      <c r="D32" s="12" t="s">
        <v>193</v>
      </c>
      <c r="E32" s="13" t="s">
        <v>114</v>
      </c>
    </row>
    <row r="33" spans="1:10" x14ac:dyDescent="0.3">
      <c r="A33" s="12" t="s">
        <v>58</v>
      </c>
      <c r="B33" s="12" t="s">
        <v>115</v>
      </c>
      <c r="C33" s="12">
        <v>4.2</v>
      </c>
      <c r="D33" s="12" t="s">
        <v>193</v>
      </c>
      <c r="E33" s="13" t="s">
        <v>116</v>
      </c>
    </row>
    <row r="34" spans="1:10" x14ac:dyDescent="0.3">
      <c r="A34" s="12" t="s">
        <v>58</v>
      </c>
      <c r="B34" s="12" t="s">
        <v>117</v>
      </c>
      <c r="C34" s="12">
        <v>9.1</v>
      </c>
      <c r="D34" s="12" t="s">
        <v>193</v>
      </c>
      <c r="E34" s="13" t="s">
        <v>118</v>
      </c>
    </row>
    <row r="35" spans="1:10" x14ac:dyDescent="0.3">
      <c r="A35" s="12" t="s">
        <v>58</v>
      </c>
      <c r="B35" s="12" t="s">
        <v>119</v>
      </c>
      <c r="C35" s="12">
        <v>3.1</v>
      </c>
      <c r="D35" s="12" t="s">
        <v>193</v>
      </c>
      <c r="E35" s="13" t="s">
        <v>120</v>
      </c>
    </row>
    <row r="36" spans="1:10" x14ac:dyDescent="0.3">
      <c r="A36" s="12" t="s">
        <v>58</v>
      </c>
      <c r="B36" s="12" t="s">
        <v>121</v>
      </c>
      <c r="C36" s="12">
        <v>1.2</v>
      </c>
      <c r="D36" s="12" t="s">
        <v>193</v>
      </c>
      <c r="E36" s="13" t="s">
        <v>122</v>
      </c>
    </row>
    <row r="37" spans="1:10" x14ac:dyDescent="0.3">
      <c r="A37" s="12" t="s">
        <v>58</v>
      </c>
      <c r="B37" s="12" t="s">
        <v>123</v>
      </c>
      <c r="C37" s="12">
        <v>11.7</v>
      </c>
      <c r="D37" s="12" t="s">
        <v>193</v>
      </c>
      <c r="E37" s="13" t="s">
        <v>124</v>
      </c>
    </row>
    <row r="38" spans="1:10" x14ac:dyDescent="0.3">
      <c r="A38" s="12" t="s">
        <v>58</v>
      </c>
      <c r="B38" s="12" t="s">
        <v>125</v>
      </c>
      <c r="C38" s="12">
        <v>5</v>
      </c>
      <c r="D38" s="12" t="s">
        <v>193</v>
      </c>
      <c r="E38" s="13" t="s">
        <v>126</v>
      </c>
    </row>
    <row r="39" spans="1:10" x14ac:dyDescent="0.3">
      <c r="A39" s="12" t="s">
        <v>58</v>
      </c>
      <c r="B39" s="12" t="s">
        <v>127</v>
      </c>
      <c r="C39" s="12">
        <v>1.2</v>
      </c>
      <c r="D39" s="12" t="s">
        <v>193</v>
      </c>
      <c r="E39" s="13" t="s">
        <v>128</v>
      </c>
    </row>
    <row r="40" spans="1:10" x14ac:dyDescent="0.3">
      <c r="A40" s="12" t="s">
        <v>58</v>
      </c>
      <c r="B40" s="12" t="s">
        <v>129</v>
      </c>
      <c r="C40" s="12">
        <v>4.5999999999999996</v>
      </c>
      <c r="D40" s="12" t="s">
        <v>193</v>
      </c>
      <c r="E40" s="13" t="s">
        <v>130</v>
      </c>
    </row>
    <row r="41" spans="1:10" x14ac:dyDescent="0.3">
      <c r="A41" s="12" t="s">
        <v>58</v>
      </c>
      <c r="B41" s="12" t="s">
        <v>131</v>
      </c>
      <c r="C41" s="12">
        <v>2.8</v>
      </c>
      <c r="D41" s="12" t="s">
        <v>193</v>
      </c>
      <c r="E41" s="13" t="s">
        <v>132</v>
      </c>
    </row>
    <row r="42" spans="1:10" x14ac:dyDescent="0.3">
      <c r="A42" s="12" t="s">
        <v>58</v>
      </c>
      <c r="B42" s="12" t="s">
        <v>133</v>
      </c>
      <c r="C42" s="12">
        <v>1.4</v>
      </c>
      <c r="D42" s="12" t="s">
        <v>193</v>
      </c>
      <c r="E42" s="13" t="s">
        <v>134</v>
      </c>
    </row>
    <row r="43" spans="1:10" x14ac:dyDescent="0.3">
      <c r="A43" s="12" t="s">
        <v>135</v>
      </c>
      <c r="B43" s="12" t="s">
        <v>136</v>
      </c>
      <c r="C43" s="12">
        <v>12.81692</v>
      </c>
      <c r="D43" s="12" t="s">
        <v>193</v>
      </c>
      <c r="E43" s="12" t="s">
        <v>137</v>
      </c>
    </row>
    <row r="44" spans="1:10" x14ac:dyDescent="0.3">
      <c r="A44" s="12" t="s">
        <v>135</v>
      </c>
      <c r="B44" s="12" t="s">
        <v>138</v>
      </c>
      <c r="C44" s="12">
        <v>0.19547</v>
      </c>
      <c r="D44" s="12" t="s">
        <v>193</v>
      </c>
      <c r="E44" s="12" t="s">
        <v>137</v>
      </c>
    </row>
    <row r="45" spans="1:10" x14ac:dyDescent="0.3">
      <c r="I45" s="12"/>
      <c r="J45" s="12"/>
    </row>
    <row r="46" spans="1:10" x14ac:dyDescent="0.3">
      <c r="I46" s="12"/>
      <c r="J46" s="12"/>
    </row>
  </sheetData>
  <hyperlinks>
    <hyperlink ref="E2" r:id="rId1" tooltip="Persistent link using digital object identifier" xr:uid="{1D453404-A187-4306-9253-385C954A50BF}"/>
    <hyperlink ref="E3" r:id="rId2" tooltip="Persistent link using digital object identifier" xr:uid="{7D1032CF-6BC8-4021-A13A-2D6F47649B8C}"/>
    <hyperlink ref="E4" r:id="rId3" tooltip="Persistent link using digital object identifier" xr:uid="{5D6C4DE6-0C84-4026-B4F7-113072449005}"/>
    <hyperlink ref="E5" r:id="rId4" tooltip="Persistent link using digital object identifier" xr:uid="{D67EE629-EE4F-44B9-B7CD-8E07DF23B2EC}"/>
    <hyperlink ref="E6:E27" r:id="rId5" tooltip="Persistent link using digital object identifier" display="https://doi.org/10.1016/j.envint.2004.03.005" xr:uid="{E91D08B3-7065-4C10-8279-FF05CABC4F2D}"/>
    <hyperlink ref="E28:E42" r:id="rId6" tooltip="Persistent link using digital object identifier" display="https://doi.org/10.1016/j.envint.2004.03.005" xr:uid="{98C735FA-CA94-458F-B194-AD44C0EC6D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EC15-3410-4A9F-9AE0-B75A4AEC803D}">
  <dimension ref="A1:A9"/>
  <sheetViews>
    <sheetView workbookViewId="0">
      <selection activeCell="A10" sqref="A10"/>
    </sheetView>
  </sheetViews>
  <sheetFormatPr baseColWidth="10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  <row r="3" spans="1:1" x14ac:dyDescent="0.3">
      <c r="A3" t="s">
        <v>166</v>
      </c>
    </row>
    <row r="4" spans="1:1" x14ac:dyDescent="0.3">
      <c r="A4" t="s">
        <v>167</v>
      </c>
    </row>
    <row r="5" spans="1:1" x14ac:dyDescent="0.3">
      <c r="A5" t="s">
        <v>168</v>
      </c>
    </row>
    <row r="6" spans="1:1" x14ac:dyDescent="0.3">
      <c r="A6" t="s">
        <v>169</v>
      </c>
    </row>
    <row r="7" spans="1:1" x14ac:dyDescent="0.3">
      <c r="A7" t="s">
        <v>170</v>
      </c>
    </row>
    <row r="8" spans="1:1" x14ac:dyDescent="0.3">
      <c r="A8" t="s">
        <v>171</v>
      </c>
    </row>
    <row r="9" spans="1:1" x14ac:dyDescent="0.3">
      <c r="A9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876A-811D-4C40-A01B-1D45BE858418}">
  <dimension ref="A1:F17"/>
  <sheetViews>
    <sheetView zoomScale="58" workbookViewId="0">
      <selection activeCell="I1" sqref="I1:L1048576"/>
    </sheetView>
  </sheetViews>
  <sheetFormatPr baseColWidth="10" defaultRowHeight="14.4" x14ac:dyDescent="0.3"/>
  <cols>
    <col min="1" max="1" width="37.33203125" bestFit="1" customWidth="1"/>
    <col min="2" max="2" width="13.77734375" bestFit="1" customWidth="1"/>
  </cols>
  <sheetData>
    <row r="1" spans="1:6" x14ac:dyDescent="0.3">
      <c r="A1" t="s">
        <v>195</v>
      </c>
      <c r="B1" t="s">
        <v>161</v>
      </c>
      <c r="C1" t="s">
        <v>139</v>
      </c>
      <c r="D1" t="s">
        <v>5</v>
      </c>
      <c r="E1" t="s">
        <v>4</v>
      </c>
      <c r="F1" t="s">
        <v>52</v>
      </c>
    </row>
    <row r="2" spans="1:6" x14ac:dyDescent="0.3">
      <c r="A2" t="s">
        <v>142</v>
      </c>
      <c r="B2">
        <v>2.5127899999999999</v>
      </c>
      <c r="C2" t="s">
        <v>160</v>
      </c>
      <c r="D2" t="s">
        <v>143</v>
      </c>
    </row>
    <row r="3" spans="1:6" x14ac:dyDescent="0.3">
      <c r="A3" t="s">
        <v>144</v>
      </c>
      <c r="B3">
        <v>2.6615500000000001</v>
      </c>
      <c r="C3" t="s">
        <v>160</v>
      </c>
      <c r="D3" t="s">
        <v>143</v>
      </c>
    </row>
    <row r="4" spans="1:6" x14ac:dyDescent="0.3">
      <c r="A4" t="s">
        <v>145</v>
      </c>
      <c r="B4">
        <v>2.0844</v>
      </c>
      <c r="C4" t="s">
        <v>160</v>
      </c>
      <c r="D4" t="s">
        <v>143</v>
      </c>
    </row>
    <row r="5" spans="1:6" x14ac:dyDescent="0.3">
      <c r="A5" t="s">
        <v>146</v>
      </c>
      <c r="B5">
        <v>2.6615500000000001</v>
      </c>
      <c r="C5" t="s">
        <v>160</v>
      </c>
      <c r="D5" t="s">
        <v>143</v>
      </c>
    </row>
    <row r="6" spans="1:6" x14ac:dyDescent="0.3">
      <c r="A6" t="s">
        <v>147</v>
      </c>
      <c r="B6">
        <v>0.44941999999999999</v>
      </c>
      <c r="C6" t="s">
        <v>160</v>
      </c>
      <c r="D6" t="s">
        <v>143</v>
      </c>
    </row>
    <row r="7" spans="1:6" x14ac:dyDescent="0.3">
      <c r="A7" t="s">
        <v>148</v>
      </c>
      <c r="B7">
        <v>1.1721600000000001</v>
      </c>
      <c r="C7" t="s">
        <v>160</v>
      </c>
      <c r="D7" t="s">
        <v>143</v>
      </c>
    </row>
    <row r="8" spans="1:6" x14ac:dyDescent="0.3">
      <c r="A8" t="s">
        <v>149</v>
      </c>
      <c r="B8">
        <v>1.5571299999999999</v>
      </c>
      <c r="C8" t="s">
        <v>160</v>
      </c>
      <c r="D8" t="s">
        <v>143</v>
      </c>
    </row>
    <row r="9" spans="1:6" x14ac:dyDescent="0.3">
      <c r="A9" t="s">
        <v>150</v>
      </c>
      <c r="B9">
        <v>3.1749299999999998</v>
      </c>
      <c r="C9" t="s">
        <v>160</v>
      </c>
      <c r="D9" t="s">
        <v>143</v>
      </c>
    </row>
    <row r="10" spans="1:6" x14ac:dyDescent="0.3">
      <c r="A10" t="s">
        <v>151</v>
      </c>
      <c r="B10">
        <v>2.7554099999999999</v>
      </c>
      <c r="C10" t="s">
        <v>160</v>
      </c>
      <c r="D10" t="s">
        <v>143</v>
      </c>
    </row>
    <row r="11" spans="1:6" x14ac:dyDescent="0.3">
      <c r="A11" t="s">
        <v>152</v>
      </c>
      <c r="B11">
        <v>2.7493400000000001</v>
      </c>
      <c r="C11" t="s">
        <v>160</v>
      </c>
      <c r="D11" t="s">
        <v>143</v>
      </c>
    </row>
    <row r="12" spans="1:6" x14ac:dyDescent="0.3">
      <c r="A12" t="s">
        <v>153</v>
      </c>
      <c r="B12">
        <v>2.1189399999999998</v>
      </c>
      <c r="C12" t="s">
        <v>160</v>
      </c>
      <c r="D12" t="s">
        <v>143</v>
      </c>
    </row>
    <row r="13" spans="1:6" x14ac:dyDescent="0.3">
      <c r="A13" t="s">
        <v>154</v>
      </c>
      <c r="B13">
        <v>1.74532</v>
      </c>
      <c r="C13" t="s">
        <v>160</v>
      </c>
      <c r="D13" t="s">
        <v>143</v>
      </c>
    </row>
    <row r="14" spans="1:6" x14ac:dyDescent="0.3">
      <c r="A14" t="s">
        <v>155</v>
      </c>
      <c r="B14">
        <f>0.94441</f>
        <v>0.94440999999999997</v>
      </c>
      <c r="C14" t="s">
        <v>160</v>
      </c>
      <c r="D14" t="s">
        <v>143</v>
      </c>
    </row>
    <row r="15" spans="1:6" x14ac:dyDescent="0.3">
      <c r="A15" t="s">
        <v>156</v>
      </c>
      <c r="B15">
        <f>1.54357</f>
        <v>1.5435700000000001</v>
      </c>
      <c r="C15" t="s">
        <v>160</v>
      </c>
      <c r="D15" t="s">
        <v>143</v>
      </c>
    </row>
    <row r="16" spans="1:6" x14ac:dyDescent="0.3">
      <c r="A16" t="s">
        <v>157</v>
      </c>
      <c r="B16">
        <v>2.5401500000000001</v>
      </c>
      <c r="C16" t="s">
        <v>160</v>
      </c>
      <c r="D16" t="s">
        <v>143</v>
      </c>
    </row>
    <row r="17" spans="1:4" x14ac:dyDescent="0.3">
      <c r="A17" t="s">
        <v>158</v>
      </c>
      <c r="B17">
        <v>0.2021</v>
      </c>
      <c r="C17" t="s">
        <v>163</v>
      </c>
      <c r="D17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4BCE-2C3F-4E07-A7D8-A5509A230FE7}">
  <dimension ref="A1:F2"/>
  <sheetViews>
    <sheetView zoomScale="103" workbookViewId="0">
      <selection sqref="A1:D2"/>
    </sheetView>
  </sheetViews>
  <sheetFormatPr baseColWidth="10" defaultRowHeight="14.4" x14ac:dyDescent="0.3"/>
  <sheetData>
    <row r="1" spans="1:6" x14ac:dyDescent="0.3">
      <c r="A1" t="s">
        <v>175</v>
      </c>
      <c r="B1" t="s">
        <v>162</v>
      </c>
      <c r="C1" t="s">
        <v>139</v>
      </c>
      <c r="D1" t="s">
        <v>5</v>
      </c>
      <c r="E1" t="s">
        <v>4</v>
      </c>
      <c r="F1" t="s">
        <v>52</v>
      </c>
    </row>
    <row r="2" spans="1:6" x14ac:dyDescent="0.3">
      <c r="A2" t="s">
        <v>194</v>
      </c>
      <c r="B2">
        <v>1.4999999999999999E-4</v>
      </c>
      <c r="C2" t="s">
        <v>160</v>
      </c>
      <c r="D2" t="s">
        <v>143</v>
      </c>
      <c r="E2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53C0-F83D-4333-AF85-FD6EC372CC5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206D-0696-469A-BBB8-344AFC138DE1}">
  <dimension ref="A1:F2"/>
  <sheetViews>
    <sheetView zoomScale="78" workbookViewId="0">
      <selection activeCell="G6" sqref="G6"/>
    </sheetView>
  </sheetViews>
  <sheetFormatPr baseColWidth="10" defaultRowHeight="14.4" x14ac:dyDescent="0.3"/>
  <cols>
    <col min="3" max="3" width="12.109375" bestFit="1" customWidth="1"/>
  </cols>
  <sheetData>
    <row r="1" spans="1:6" x14ac:dyDescent="0.3">
      <c r="A1" t="s">
        <v>175</v>
      </c>
      <c r="B1" t="s">
        <v>162</v>
      </c>
      <c r="C1" t="s">
        <v>139</v>
      </c>
      <c r="D1" t="s">
        <v>5</v>
      </c>
      <c r="E1" t="s">
        <v>4</v>
      </c>
      <c r="F1" t="s">
        <v>52</v>
      </c>
    </row>
    <row r="2" spans="1:6" x14ac:dyDescent="0.3">
      <c r="A2" t="s">
        <v>220</v>
      </c>
      <c r="B2">
        <v>0.2021</v>
      </c>
      <c r="C2" t="s">
        <v>163</v>
      </c>
      <c r="E2">
        <v>2024</v>
      </c>
      <c r="F2" t="s">
        <v>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9C86-6277-4157-9ED3-7301087CA07F}">
  <dimension ref="A1:F58"/>
  <sheetViews>
    <sheetView tabSelected="1" zoomScale="82" zoomScaleNormal="55" workbookViewId="0">
      <selection activeCell="J71" sqref="I69:J71"/>
    </sheetView>
  </sheetViews>
  <sheetFormatPr baseColWidth="10" defaultRowHeight="14.4" x14ac:dyDescent="0.3"/>
  <cols>
    <col min="1" max="1" width="30.33203125" bestFit="1" customWidth="1"/>
    <col min="2" max="2" width="5.33203125" bestFit="1" customWidth="1"/>
    <col min="3" max="3" width="28.109375" bestFit="1" customWidth="1"/>
    <col min="4" max="4" width="100.33203125" bestFit="1" customWidth="1"/>
    <col min="6" max="6" width="13" bestFit="1" customWidth="1"/>
  </cols>
  <sheetData>
    <row r="1" spans="1:6" x14ac:dyDescent="0.3">
      <c r="A1" t="s">
        <v>217</v>
      </c>
      <c r="B1" t="s">
        <v>162</v>
      </c>
      <c r="C1" t="s">
        <v>139</v>
      </c>
      <c r="D1" t="s">
        <v>5</v>
      </c>
      <c r="E1" t="s">
        <v>4</v>
      </c>
      <c r="F1" t="s">
        <v>52</v>
      </c>
    </row>
    <row r="2" spans="1:6" ht="18.600000000000001" customHeight="1" x14ac:dyDescent="0.3">
      <c r="A2" t="s">
        <v>207</v>
      </c>
      <c r="B2">
        <v>0.85</v>
      </c>
      <c r="C2" t="s">
        <v>208</v>
      </c>
      <c r="D2" s="25" t="s">
        <v>210</v>
      </c>
    </row>
    <row r="3" spans="1:6" ht="18.600000000000001" customHeight="1" x14ac:dyDescent="0.3">
      <c r="A3" t="s">
        <v>205</v>
      </c>
      <c r="B3">
        <v>2.7</v>
      </c>
      <c r="C3" t="s">
        <v>209</v>
      </c>
      <c r="D3" s="25" t="s">
        <v>210</v>
      </c>
    </row>
    <row r="4" spans="1:6" ht="16.8" customHeight="1" x14ac:dyDescent="0.3">
      <c r="A4" t="s">
        <v>206</v>
      </c>
      <c r="B4">
        <v>7.0000000000000007E-2</v>
      </c>
      <c r="C4" t="s">
        <v>209</v>
      </c>
      <c r="D4" s="25" t="s">
        <v>210</v>
      </c>
    </row>
    <row r="5" spans="1:6" ht="18" customHeight="1" x14ac:dyDescent="0.3">
      <c r="A5" t="s">
        <v>211</v>
      </c>
      <c r="B5">
        <v>10</v>
      </c>
      <c r="C5" s="27" t="s">
        <v>218</v>
      </c>
      <c r="D5" s="25" t="s">
        <v>216</v>
      </c>
    </row>
    <row r="6" spans="1:6" ht="21" customHeight="1" x14ac:dyDescent="0.3">
      <c r="A6" t="s">
        <v>212</v>
      </c>
      <c r="B6">
        <v>4</v>
      </c>
      <c r="C6" s="27" t="s">
        <v>218</v>
      </c>
      <c r="D6" s="25" t="s">
        <v>216</v>
      </c>
    </row>
    <row r="7" spans="1:6" ht="18" customHeight="1" x14ac:dyDescent="0.3">
      <c r="A7" t="s">
        <v>213</v>
      </c>
      <c r="B7">
        <v>0.6</v>
      </c>
      <c r="C7" s="27" t="s">
        <v>219</v>
      </c>
      <c r="D7" s="25" t="s">
        <v>216</v>
      </c>
      <c r="F7" t="s">
        <v>215</v>
      </c>
    </row>
    <row r="8" spans="1:6" ht="18" customHeight="1" x14ac:dyDescent="0.3">
      <c r="A8" t="s">
        <v>214</v>
      </c>
      <c r="B8">
        <v>0.3</v>
      </c>
      <c r="C8" s="27" t="s">
        <v>219</v>
      </c>
      <c r="D8" s="25" t="s">
        <v>216</v>
      </c>
      <c r="F8" t="s">
        <v>215</v>
      </c>
    </row>
    <row r="44" ht="17.399999999999999" customHeight="1" x14ac:dyDescent="0.3"/>
    <row r="45" ht="17.399999999999999" customHeight="1" x14ac:dyDescent="0.3"/>
    <row r="46" ht="17.399999999999999" customHeight="1" x14ac:dyDescent="0.3"/>
    <row r="47" ht="17.399999999999999" customHeight="1" x14ac:dyDescent="0.3"/>
    <row r="48" ht="17.399999999999999" customHeight="1" x14ac:dyDescent="0.3"/>
    <row r="49" ht="17.399999999999999" customHeight="1" x14ac:dyDescent="0.3"/>
    <row r="50" ht="17.399999999999999" customHeight="1" x14ac:dyDescent="0.3"/>
    <row r="51" ht="17.399999999999999" customHeight="1" x14ac:dyDescent="0.3"/>
    <row r="52" ht="17.399999999999999" customHeight="1" x14ac:dyDescent="0.3"/>
    <row r="53" ht="17.399999999999999" customHeight="1" x14ac:dyDescent="0.3"/>
    <row r="54" ht="17.399999999999999" customHeight="1" x14ac:dyDescent="0.3"/>
    <row r="55" ht="17.399999999999999" customHeight="1" x14ac:dyDescent="0.3"/>
    <row r="56" ht="17.399999999999999" customHeight="1" x14ac:dyDescent="0.3"/>
    <row r="57" ht="17.399999999999999" customHeight="1" x14ac:dyDescent="0.3"/>
    <row r="58" ht="17.399999999999999" customHeight="1" x14ac:dyDescent="0.3"/>
  </sheetData>
  <hyperlinks>
    <hyperlink ref="D2" r:id="rId1" location="page=40.05" display="https://www.ipcc-nggip.iges.or.jp/public/2019rf/pdf/4_Volume4/19R_V4_Ch02_Generic Methods.pdf - page=40.05" xr:uid="{FB5EE426-49D2-473D-9194-A3AF3D7CA337}"/>
    <hyperlink ref="D3" r:id="rId2" location="page=40.05" display="https://www.ipcc-nggip.iges.or.jp/public/2019rf/pdf/4_Volume4/19R_V4_Ch02_Generic Methods.pdf - page=40.05" xr:uid="{AF3EDAFD-B311-4305-ACC2-EA6737169532}"/>
    <hyperlink ref="D4" r:id="rId3" location="page=40.05" display="https://www.ipcc-nggip.iges.or.jp/public/2019rf/pdf/4_Volume4/19R_V4_Ch02_Generic Methods.pdf - page=40.05" xr:uid="{C2E83386-57AB-4C25-8B20-407D359BA98B}"/>
    <hyperlink ref="D5" r:id="rId4" xr:uid="{26E9A879-6DB8-46AB-8609-3CF3CADD86BC}"/>
    <hyperlink ref="D6" r:id="rId5" xr:uid="{208BE4FD-0967-47E9-A723-83B33201838B}"/>
    <hyperlink ref="D7" r:id="rId6" xr:uid="{636DBA0D-F313-4F18-9459-DB50CB27E549}"/>
    <hyperlink ref="D8" r:id="rId7" xr:uid="{C88EC783-8555-454E-91D8-9AEE683DA50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80D0-FD7B-408B-9925-970761E6471E}">
  <dimension ref="A1:F6"/>
  <sheetViews>
    <sheetView zoomScale="62" workbookViewId="0">
      <selection activeCell="G17" sqref="G17"/>
    </sheetView>
  </sheetViews>
  <sheetFormatPr baseColWidth="10" defaultRowHeight="14.4" x14ac:dyDescent="0.3"/>
  <sheetData>
    <row r="1" spans="1:6" x14ac:dyDescent="0.3">
      <c r="A1" t="s">
        <v>196</v>
      </c>
      <c r="B1" t="s">
        <v>201</v>
      </c>
      <c r="C1" t="s">
        <v>139</v>
      </c>
      <c r="D1" t="s">
        <v>5</v>
      </c>
      <c r="E1" t="s">
        <v>4</v>
      </c>
      <c r="F1" t="s">
        <v>52</v>
      </c>
    </row>
    <row r="2" spans="1:6" x14ac:dyDescent="0.3">
      <c r="A2" t="s">
        <v>197</v>
      </c>
      <c r="B2">
        <v>10</v>
      </c>
      <c r="C2" t="s">
        <v>202</v>
      </c>
    </row>
    <row r="3" spans="1:6" x14ac:dyDescent="0.3">
      <c r="A3" t="s">
        <v>198</v>
      </c>
      <c r="B3">
        <v>15</v>
      </c>
      <c r="C3" t="s">
        <v>202</v>
      </c>
    </row>
    <row r="4" spans="1:6" x14ac:dyDescent="0.3">
      <c r="A4" t="s">
        <v>199</v>
      </c>
      <c r="B4">
        <v>25</v>
      </c>
      <c r="C4" t="s">
        <v>202</v>
      </c>
    </row>
    <row r="5" spans="1:6" x14ac:dyDescent="0.3">
      <c r="A5" t="s">
        <v>200</v>
      </c>
      <c r="B5">
        <v>8</v>
      </c>
      <c r="C5" t="s">
        <v>202</v>
      </c>
    </row>
    <row r="6" spans="1:6" x14ac:dyDescent="0.3">
      <c r="A6" t="s">
        <v>172</v>
      </c>
      <c r="B6">
        <v>10</v>
      </c>
      <c r="C6" t="s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f47de8-0651-4004-b812-b2cf94dc19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013315E455947AA0A8DA8529C01CB" ma:contentTypeVersion="17" ma:contentTypeDescription="Create a new document." ma:contentTypeScope="" ma:versionID="1dd59410f914da32dc45f8ce5dd2c55c">
  <xsd:schema xmlns:xsd="http://www.w3.org/2001/XMLSchema" xmlns:xs="http://www.w3.org/2001/XMLSchema" xmlns:p="http://schemas.microsoft.com/office/2006/metadata/properties" xmlns:ns3="e3f47de8-0651-4004-b812-b2cf94dc193e" xmlns:ns4="5ff363c1-94fb-4111-b5f3-b6fd9b3276ea" targetNamespace="http://schemas.microsoft.com/office/2006/metadata/properties" ma:root="true" ma:fieldsID="8b3677ee1ce74991171157096409b7e3" ns3:_="" ns4:_="">
    <xsd:import namespace="e3f47de8-0651-4004-b812-b2cf94dc193e"/>
    <xsd:import namespace="5ff363c1-94fb-4111-b5f3-b6fd9b3276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47de8-0651-4004-b812-b2cf94dc19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363c1-94fb-4111-b5f3-b6fd9b3276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24095-1266-46BA-8C37-2E62F3396B2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5ff363c1-94fb-4111-b5f3-b6fd9b3276ea"/>
    <ds:schemaRef ds:uri="e3f47de8-0651-4004-b812-b2cf94dc193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A365FC7-07FB-456B-9CA8-1425240E77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1BADBD-9633-477A-8D1C-4E760A9369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47de8-0651-4004-b812-b2cf94dc193e"/>
    <ds:schemaRef ds:uri="5ff363c1-94fb-4111-b5f3-b6fd9b3276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gwp</vt:lpstr>
      <vt:lpstr>factores_ipcc</vt:lpstr>
      <vt:lpstr>fertilizantes_organicos</vt:lpstr>
      <vt:lpstr>fertilizantes_inorganicos</vt:lpstr>
      <vt:lpstr>agroquímicos</vt:lpstr>
      <vt:lpstr>labores</vt:lpstr>
      <vt:lpstr>combustibles</vt:lpstr>
      <vt:lpstr>agua</vt:lpstr>
      <vt:lpstr>maquinaria</vt:lpstr>
      <vt:lpstr>electricidad</vt:lpstr>
      <vt:lpstr>residuos</vt:lpstr>
      <vt:lpstr>rendimientos_maquinaria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 León Llano</dc:creator>
  <cp:lastModifiedBy>Sebastian León Llano</cp:lastModifiedBy>
  <dcterms:created xsi:type="dcterms:W3CDTF">2025-08-13T04:16:37Z</dcterms:created>
  <dcterms:modified xsi:type="dcterms:W3CDTF">2025-08-19T21:39:59Z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0x01010074F013315E455947AA0A8DA8529C01CB</vt:lpwstr>
  </property>
</Properties>
</file>